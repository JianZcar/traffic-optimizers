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CPDC\Transport Surveys\Completed Traffic-Pedestrian-Parking Data\1a - Traffic Count Raw Data - Corrected\"/>
    </mc:Choice>
  </mc:AlternateContent>
  <xr:revisionPtr revIDLastSave="0" documentId="13_ncr:1_{456DE596-7869-4915-8495-027D1611D261}" xr6:coauthVersionLast="47" xr6:coauthVersionMax="47" xr10:uidLastSave="{00000000-0000-0000-0000-000000000000}"/>
  <bookViews>
    <workbookView xWindow="-120" yWindow="-120" windowWidth="29040" windowHeight="15720" xr2:uid="{ABB8293B-C1DC-4CC0-BD51-8A9FC10D4024}"/>
  </bookViews>
  <sheets>
    <sheet name="1-3" sheetId="15" r:id="rId1"/>
    <sheet name="1-4" sheetId="19" r:id="rId2"/>
    <sheet name="3-1" sheetId="20" r:id="rId3"/>
    <sheet name="3-4" sheetId="21" r:id="rId4"/>
    <sheet name="4-1" sheetId="22" r:id="rId5"/>
    <sheet name="4-3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82" i="23" l="1"/>
  <c r="W82" i="23"/>
  <c r="V82" i="23"/>
  <c r="U82" i="23"/>
  <c r="T82" i="23"/>
  <c r="S82" i="23"/>
  <c r="R82" i="23"/>
  <c r="Q82" i="23"/>
  <c r="P82" i="23"/>
  <c r="O82" i="23"/>
  <c r="X81" i="23"/>
  <c r="W81" i="23"/>
  <c r="V81" i="23"/>
  <c r="U81" i="23"/>
  <c r="T81" i="23"/>
  <c r="S81" i="23"/>
  <c r="R81" i="23"/>
  <c r="Q81" i="23"/>
  <c r="P81" i="23"/>
  <c r="O81" i="23"/>
  <c r="X80" i="23"/>
  <c r="W80" i="23"/>
  <c r="V80" i="23"/>
  <c r="U80" i="23"/>
  <c r="T80" i="23"/>
  <c r="S80" i="23"/>
  <c r="R80" i="23"/>
  <c r="Q80" i="23"/>
  <c r="P80" i="23"/>
  <c r="O80" i="23"/>
  <c r="X79" i="23"/>
  <c r="W79" i="23"/>
  <c r="V79" i="23"/>
  <c r="U79" i="23"/>
  <c r="T79" i="23"/>
  <c r="S79" i="23"/>
  <c r="R79" i="23"/>
  <c r="Q79" i="23"/>
  <c r="P79" i="23"/>
  <c r="O79" i="23"/>
  <c r="X78" i="23"/>
  <c r="W78" i="23"/>
  <c r="V78" i="23"/>
  <c r="U78" i="23"/>
  <c r="T78" i="23"/>
  <c r="S78" i="23"/>
  <c r="R78" i="23"/>
  <c r="Q78" i="23"/>
  <c r="P78" i="23"/>
  <c r="O78" i="23"/>
  <c r="X77" i="23"/>
  <c r="W77" i="23"/>
  <c r="V77" i="23"/>
  <c r="U77" i="23"/>
  <c r="T77" i="23"/>
  <c r="S77" i="23"/>
  <c r="R77" i="23"/>
  <c r="Q77" i="23"/>
  <c r="P77" i="23"/>
  <c r="O77" i="23"/>
  <c r="X76" i="23"/>
  <c r="W76" i="23"/>
  <c r="V76" i="23"/>
  <c r="U76" i="23"/>
  <c r="T76" i="23"/>
  <c r="S76" i="23"/>
  <c r="R76" i="23"/>
  <c r="Q76" i="23"/>
  <c r="P76" i="23"/>
  <c r="O76" i="23"/>
  <c r="X75" i="23"/>
  <c r="W75" i="23"/>
  <c r="V75" i="23"/>
  <c r="U75" i="23"/>
  <c r="T75" i="23"/>
  <c r="S75" i="23"/>
  <c r="R75" i="23"/>
  <c r="Q75" i="23"/>
  <c r="P75" i="23"/>
  <c r="O75" i="23"/>
  <c r="X74" i="23"/>
  <c r="W74" i="23"/>
  <c r="V74" i="23"/>
  <c r="U74" i="23"/>
  <c r="T74" i="23"/>
  <c r="S74" i="23"/>
  <c r="R74" i="23"/>
  <c r="Q74" i="23"/>
  <c r="P74" i="23"/>
  <c r="O74" i="23"/>
  <c r="X73" i="23"/>
  <c r="W73" i="23"/>
  <c r="V73" i="23"/>
  <c r="U73" i="23"/>
  <c r="T73" i="23"/>
  <c r="S73" i="23"/>
  <c r="R73" i="23"/>
  <c r="Q73" i="23"/>
  <c r="P73" i="23"/>
  <c r="O73" i="23"/>
  <c r="X72" i="23"/>
  <c r="W72" i="23"/>
  <c r="V72" i="23"/>
  <c r="U72" i="23"/>
  <c r="T72" i="23"/>
  <c r="S72" i="23"/>
  <c r="R72" i="23"/>
  <c r="Q72" i="23"/>
  <c r="P72" i="23"/>
  <c r="O72" i="23"/>
  <c r="X71" i="23"/>
  <c r="W71" i="23"/>
  <c r="V71" i="23"/>
  <c r="U71" i="23"/>
  <c r="T71" i="23"/>
  <c r="S71" i="23"/>
  <c r="R71" i="23"/>
  <c r="Q71" i="23"/>
  <c r="P71" i="23"/>
  <c r="O71" i="23"/>
  <c r="X70" i="23"/>
  <c r="W70" i="23"/>
  <c r="V70" i="23"/>
  <c r="U70" i="23"/>
  <c r="T70" i="23"/>
  <c r="S70" i="23"/>
  <c r="R70" i="23"/>
  <c r="Q70" i="23"/>
  <c r="P70" i="23"/>
  <c r="O70" i="23"/>
  <c r="X69" i="23"/>
  <c r="W69" i="23"/>
  <c r="V69" i="23"/>
  <c r="U69" i="23"/>
  <c r="T69" i="23"/>
  <c r="S69" i="23"/>
  <c r="R69" i="23"/>
  <c r="Q69" i="23"/>
  <c r="P69" i="23"/>
  <c r="O69" i="23"/>
  <c r="X68" i="23"/>
  <c r="W68" i="23"/>
  <c r="V68" i="23"/>
  <c r="U68" i="23"/>
  <c r="T68" i="23"/>
  <c r="S68" i="23"/>
  <c r="R68" i="23"/>
  <c r="Q68" i="23"/>
  <c r="P68" i="23"/>
  <c r="O68" i="23"/>
  <c r="AG68" i="22"/>
  <c r="X82" i="22"/>
  <c r="W82" i="22"/>
  <c r="V82" i="22"/>
  <c r="U82" i="22"/>
  <c r="T82" i="22"/>
  <c r="S82" i="22"/>
  <c r="R82" i="22"/>
  <c r="Q82" i="22"/>
  <c r="P82" i="22"/>
  <c r="AH82" i="22" s="1"/>
  <c r="O82" i="22"/>
  <c r="X81" i="22"/>
  <c r="W81" i="22"/>
  <c r="V81" i="22"/>
  <c r="U81" i="22"/>
  <c r="T81" i="22"/>
  <c r="S81" i="22"/>
  <c r="R81" i="22"/>
  <c r="Q81" i="22"/>
  <c r="P81" i="22"/>
  <c r="O81" i="22"/>
  <c r="X80" i="22"/>
  <c r="W80" i="22"/>
  <c r="V80" i="22"/>
  <c r="U80" i="22"/>
  <c r="T80" i="22"/>
  <c r="S80" i="22"/>
  <c r="R80" i="22"/>
  <c r="Q80" i="22"/>
  <c r="P80" i="22"/>
  <c r="O80" i="22"/>
  <c r="X79" i="22"/>
  <c r="W79" i="22"/>
  <c r="V79" i="22"/>
  <c r="U79" i="22"/>
  <c r="T79" i="22"/>
  <c r="S79" i="22"/>
  <c r="R79" i="22"/>
  <c r="Q79" i="22"/>
  <c r="P79" i="22"/>
  <c r="O79" i="22"/>
  <c r="X78" i="22"/>
  <c r="W78" i="22"/>
  <c r="V78" i="22"/>
  <c r="U78" i="22"/>
  <c r="T78" i="22"/>
  <c r="S78" i="22"/>
  <c r="R78" i="22"/>
  <c r="Q78" i="22"/>
  <c r="P78" i="22"/>
  <c r="O78" i="22"/>
  <c r="X77" i="22"/>
  <c r="W77" i="22"/>
  <c r="V77" i="22"/>
  <c r="U77" i="22"/>
  <c r="T77" i="22"/>
  <c r="S77" i="22"/>
  <c r="R77" i="22"/>
  <c r="Q77" i="22"/>
  <c r="P77" i="22"/>
  <c r="O77" i="22"/>
  <c r="X76" i="22"/>
  <c r="W76" i="22"/>
  <c r="V76" i="22"/>
  <c r="U76" i="22"/>
  <c r="T76" i="22"/>
  <c r="S76" i="22"/>
  <c r="R76" i="22"/>
  <c r="Q76" i="22"/>
  <c r="P76" i="22"/>
  <c r="O76" i="22"/>
  <c r="X75" i="22"/>
  <c r="W75" i="22"/>
  <c r="V75" i="22"/>
  <c r="U75" i="22"/>
  <c r="T75" i="22"/>
  <c r="S75" i="22"/>
  <c r="R75" i="22"/>
  <c r="Q75" i="22"/>
  <c r="P75" i="22"/>
  <c r="O75" i="22"/>
  <c r="X74" i="22"/>
  <c r="W74" i="22"/>
  <c r="V74" i="22"/>
  <c r="U74" i="22"/>
  <c r="T74" i="22"/>
  <c r="S74" i="22"/>
  <c r="R74" i="22"/>
  <c r="Q74" i="22"/>
  <c r="P74" i="22"/>
  <c r="O74" i="22"/>
  <c r="X73" i="22"/>
  <c r="W73" i="22"/>
  <c r="V73" i="22"/>
  <c r="U73" i="22"/>
  <c r="T73" i="22"/>
  <c r="S73" i="22"/>
  <c r="R73" i="22"/>
  <c r="Q73" i="22"/>
  <c r="P73" i="22"/>
  <c r="O73" i="22"/>
  <c r="X72" i="22"/>
  <c r="W72" i="22"/>
  <c r="V72" i="22"/>
  <c r="U72" i="22"/>
  <c r="T72" i="22"/>
  <c r="S72" i="22"/>
  <c r="R72" i="22"/>
  <c r="Q72" i="22"/>
  <c r="P72" i="22"/>
  <c r="O72" i="22"/>
  <c r="X71" i="22"/>
  <c r="W71" i="22"/>
  <c r="V71" i="22"/>
  <c r="U71" i="22"/>
  <c r="T71" i="22"/>
  <c r="S71" i="22"/>
  <c r="R71" i="22"/>
  <c r="Q71" i="22"/>
  <c r="P71" i="22"/>
  <c r="O71" i="22"/>
  <c r="X70" i="22"/>
  <c r="W70" i="22"/>
  <c r="V70" i="22"/>
  <c r="U70" i="22"/>
  <c r="T70" i="22"/>
  <c r="S70" i="22"/>
  <c r="R70" i="22"/>
  <c r="Q70" i="22"/>
  <c r="P70" i="22"/>
  <c r="O70" i="22"/>
  <c r="X69" i="22"/>
  <c r="W69" i="22"/>
  <c r="V69" i="22"/>
  <c r="U69" i="22"/>
  <c r="T69" i="22"/>
  <c r="S69" i="22"/>
  <c r="R69" i="22"/>
  <c r="Q69" i="22"/>
  <c r="P69" i="22"/>
  <c r="O69" i="22"/>
  <c r="X68" i="22"/>
  <c r="W68" i="22"/>
  <c r="V68" i="22"/>
  <c r="U68" i="22"/>
  <c r="T68" i="22"/>
  <c r="S68" i="22"/>
  <c r="R68" i="22"/>
  <c r="Q68" i="22"/>
  <c r="P68" i="22"/>
  <c r="O68" i="22"/>
  <c r="X82" i="21"/>
  <c r="W82" i="21"/>
  <c r="V82" i="21"/>
  <c r="U82" i="21"/>
  <c r="T82" i="21"/>
  <c r="S82" i="21"/>
  <c r="R82" i="21"/>
  <c r="Q82" i="21"/>
  <c r="P82" i="21"/>
  <c r="O82" i="21"/>
  <c r="X81" i="21"/>
  <c r="W81" i="21"/>
  <c r="V81" i="21"/>
  <c r="U81" i="21"/>
  <c r="T81" i="21"/>
  <c r="S81" i="21"/>
  <c r="R81" i="21"/>
  <c r="Q81" i="21"/>
  <c r="P81" i="21"/>
  <c r="O81" i="21"/>
  <c r="X80" i="21"/>
  <c r="W80" i="21"/>
  <c r="V80" i="21"/>
  <c r="U80" i="21"/>
  <c r="T80" i="21"/>
  <c r="S80" i="21"/>
  <c r="R80" i="21"/>
  <c r="Q80" i="21"/>
  <c r="P80" i="21"/>
  <c r="O80" i="21"/>
  <c r="X79" i="21"/>
  <c r="W79" i="21"/>
  <c r="V79" i="21"/>
  <c r="U79" i="21"/>
  <c r="T79" i="21"/>
  <c r="S79" i="21"/>
  <c r="R79" i="21"/>
  <c r="Q79" i="21"/>
  <c r="P79" i="21"/>
  <c r="O79" i="21"/>
  <c r="X78" i="21"/>
  <c r="W78" i="21"/>
  <c r="V78" i="21"/>
  <c r="U78" i="21"/>
  <c r="T78" i="21"/>
  <c r="S78" i="21"/>
  <c r="R78" i="21"/>
  <c r="Q78" i="21"/>
  <c r="P78" i="21"/>
  <c r="O78" i="21"/>
  <c r="X77" i="21"/>
  <c r="W77" i="21"/>
  <c r="V77" i="21"/>
  <c r="U77" i="21"/>
  <c r="T77" i="21"/>
  <c r="S77" i="21"/>
  <c r="R77" i="21"/>
  <c r="Q77" i="21"/>
  <c r="P77" i="21"/>
  <c r="O77" i="21"/>
  <c r="X76" i="21"/>
  <c r="W76" i="21"/>
  <c r="V76" i="21"/>
  <c r="U76" i="21"/>
  <c r="T76" i="21"/>
  <c r="S76" i="21"/>
  <c r="R76" i="21"/>
  <c r="Q76" i="21"/>
  <c r="P76" i="21"/>
  <c r="O76" i="21"/>
  <c r="X75" i="21"/>
  <c r="W75" i="21"/>
  <c r="V75" i="21"/>
  <c r="U75" i="21"/>
  <c r="T75" i="21"/>
  <c r="S75" i="21"/>
  <c r="R75" i="21"/>
  <c r="Q75" i="21"/>
  <c r="P75" i="21"/>
  <c r="O75" i="21"/>
  <c r="X74" i="21"/>
  <c r="W74" i="21"/>
  <c r="V74" i="21"/>
  <c r="U74" i="21"/>
  <c r="T74" i="21"/>
  <c r="S74" i="21"/>
  <c r="R74" i="21"/>
  <c r="Q74" i="21"/>
  <c r="P74" i="21"/>
  <c r="O74" i="21"/>
  <c r="X73" i="21"/>
  <c r="W73" i="21"/>
  <c r="V73" i="21"/>
  <c r="U73" i="21"/>
  <c r="T73" i="21"/>
  <c r="S73" i="21"/>
  <c r="R73" i="21"/>
  <c r="Q73" i="21"/>
  <c r="P73" i="21"/>
  <c r="O73" i="21"/>
  <c r="X72" i="21"/>
  <c r="W72" i="21"/>
  <c r="V72" i="21"/>
  <c r="U72" i="21"/>
  <c r="T72" i="21"/>
  <c r="S72" i="21"/>
  <c r="R72" i="21"/>
  <c r="Q72" i="21"/>
  <c r="P72" i="21"/>
  <c r="O72" i="21"/>
  <c r="X71" i="21"/>
  <c r="W71" i="21"/>
  <c r="V71" i="21"/>
  <c r="U71" i="21"/>
  <c r="T71" i="21"/>
  <c r="S71" i="21"/>
  <c r="R71" i="21"/>
  <c r="Q71" i="21"/>
  <c r="P71" i="21"/>
  <c r="O71" i="21"/>
  <c r="X70" i="21"/>
  <c r="W70" i="21"/>
  <c r="V70" i="21"/>
  <c r="U70" i="21"/>
  <c r="T70" i="21"/>
  <c r="S70" i="21"/>
  <c r="R70" i="21"/>
  <c r="Q70" i="21"/>
  <c r="P70" i="21"/>
  <c r="O70" i="21"/>
  <c r="X69" i="21"/>
  <c r="W69" i="21"/>
  <c r="V69" i="21"/>
  <c r="U69" i="21"/>
  <c r="T69" i="21"/>
  <c r="S69" i="21"/>
  <c r="R69" i="21"/>
  <c r="Q69" i="21"/>
  <c r="P69" i="21"/>
  <c r="O69" i="21"/>
  <c r="X68" i="21"/>
  <c r="W68" i="21"/>
  <c r="V68" i="21"/>
  <c r="U68" i="21"/>
  <c r="T68" i="21"/>
  <c r="S68" i="21"/>
  <c r="R68" i="21"/>
  <c r="Q68" i="21"/>
  <c r="P68" i="21"/>
  <c r="O68" i="21"/>
  <c r="X82" i="20"/>
  <c r="W82" i="20"/>
  <c r="V82" i="20"/>
  <c r="U82" i="20"/>
  <c r="T82" i="20"/>
  <c r="S82" i="20"/>
  <c r="R82" i="20"/>
  <c r="Q82" i="20"/>
  <c r="P82" i="20"/>
  <c r="O82" i="20"/>
  <c r="X81" i="20"/>
  <c r="W81" i="20"/>
  <c r="V81" i="20"/>
  <c r="U81" i="20"/>
  <c r="T81" i="20"/>
  <c r="S81" i="20"/>
  <c r="R81" i="20"/>
  <c r="Q81" i="20"/>
  <c r="P81" i="20"/>
  <c r="O81" i="20"/>
  <c r="X80" i="20"/>
  <c r="W80" i="20"/>
  <c r="V80" i="20"/>
  <c r="U80" i="20"/>
  <c r="T80" i="20"/>
  <c r="S80" i="20"/>
  <c r="R80" i="20"/>
  <c r="Q80" i="20"/>
  <c r="P80" i="20"/>
  <c r="O80" i="20"/>
  <c r="X79" i="20"/>
  <c r="W79" i="20"/>
  <c r="V79" i="20"/>
  <c r="U79" i="20"/>
  <c r="T79" i="20"/>
  <c r="S79" i="20"/>
  <c r="R79" i="20"/>
  <c r="Q79" i="20"/>
  <c r="P79" i="20"/>
  <c r="O79" i="20"/>
  <c r="X78" i="20"/>
  <c r="W78" i="20"/>
  <c r="V78" i="20"/>
  <c r="U78" i="20"/>
  <c r="T78" i="20"/>
  <c r="S78" i="20"/>
  <c r="R78" i="20"/>
  <c r="Q78" i="20"/>
  <c r="P78" i="20"/>
  <c r="O78" i="20"/>
  <c r="X77" i="20"/>
  <c r="W77" i="20"/>
  <c r="V77" i="20"/>
  <c r="U77" i="20"/>
  <c r="T77" i="20"/>
  <c r="S77" i="20"/>
  <c r="R77" i="20"/>
  <c r="Q77" i="20"/>
  <c r="P77" i="20"/>
  <c r="O77" i="20"/>
  <c r="X76" i="20"/>
  <c r="W76" i="20"/>
  <c r="V76" i="20"/>
  <c r="U76" i="20"/>
  <c r="T76" i="20"/>
  <c r="S76" i="20"/>
  <c r="R76" i="20"/>
  <c r="Q76" i="20"/>
  <c r="P76" i="20"/>
  <c r="O76" i="20"/>
  <c r="X75" i="20"/>
  <c r="W75" i="20"/>
  <c r="V75" i="20"/>
  <c r="U75" i="20"/>
  <c r="T75" i="20"/>
  <c r="S75" i="20"/>
  <c r="R75" i="20"/>
  <c r="Q75" i="20"/>
  <c r="P75" i="20"/>
  <c r="O75" i="20"/>
  <c r="X74" i="20"/>
  <c r="W74" i="20"/>
  <c r="V74" i="20"/>
  <c r="U74" i="20"/>
  <c r="T74" i="20"/>
  <c r="S74" i="20"/>
  <c r="R74" i="20"/>
  <c r="Q74" i="20"/>
  <c r="P74" i="20"/>
  <c r="O74" i="20"/>
  <c r="X73" i="20"/>
  <c r="W73" i="20"/>
  <c r="V73" i="20"/>
  <c r="U73" i="20"/>
  <c r="T73" i="20"/>
  <c r="S73" i="20"/>
  <c r="R73" i="20"/>
  <c r="Q73" i="20"/>
  <c r="P73" i="20"/>
  <c r="O73" i="20"/>
  <c r="X72" i="20"/>
  <c r="W72" i="20"/>
  <c r="V72" i="20"/>
  <c r="U72" i="20"/>
  <c r="T72" i="20"/>
  <c r="S72" i="20"/>
  <c r="R72" i="20"/>
  <c r="Q72" i="20"/>
  <c r="P72" i="20"/>
  <c r="O72" i="20"/>
  <c r="X71" i="20"/>
  <c r="W71" i="20"/>
  <c r="V71" i="20"/>
  <c r="U71" i="20"/>
  <c r="T71" i="20"/>
  <c r="S71" i="20"/>
  <c r="R71" i="20"/>
  <c r="Q71" i="20"/>
  <c r="P71" i="20"/>
  <c r="O71" i="20"/>
  <c r="X70" i="20"/>
  <c r="W70" i="20"/>
  <c r="V70" i="20"/>
  <c r="U70" i="20"/>
  <c r="T70" i="20"/>
  <c r="S70" i="20"/>
  <c r="R70" i="20"/>
  <c r="Q70" i="20"/>
  <c r="P70" i="20"/>
  <c r="O70" i="20"/>
  <c r="X69" i="20"/>
  <c r="W69" i="20"/>
  <c r="V69" i="20"/>
  <c r="U69" i="20"/>
  <c r="T69" i="20"/>
  <c r="S69" i="20"/>
  <c r="R69" i="20"/>
  <c r="Q69" i="20"/>
  <c r="P69" i="20"/>
  <c r="O69" i="20"/>
  <c r="X68" i="20"/>
  <c r="W68" i="20"/>
  <c r="V68" i="20"/>
  <c r="U68" i="20"/>
  <c r="T68" i="20"/>
  <c r="S68" i="20"/>
  <c r="R68" i="20"/>
  <c r="Q68" i="20"/>
  <c r="P68" i="20"/>
  <c r="O68" i="20"/>
  <c r="X82" i="19"/>
  <c r="W82" i="19"/>
  <c r="V82" i="19"/>
  <c r="U82" i="19"/>
  <c r="T82" i="19"/>
  <c r="S82" i="19"/>
  <c r="R82" i="19"/>
  <c r="Q82" i="19"/>
  <c r="P82" i="19"/>
  <c r="O82" i="19"/>
  <c r="X81" i="19"/>
  <c r="W81" i="19"/>
  <c r="V81" i="19"/>
  <c r="U81" i="19"/>
  <c r="T81" i="19"/>
  <c r="S81" i="19"/>
  <c r="R81" i="19"/>
  <c r="Q81" i="19"/>
  <c r="P81" i="19"/>
  <c r="O81" i="19"/>
  <c r="X80" i="19"/>
  <c r="W80" i="19"/>
  <c r="V80" i="19"/>
  <c r="U80" i="19"/>
  <c r="T80" i="19"/>
  <c r="S80" i="19"/>
  <c r="R80" i="19"/>
  <c r="Q80" i="19"/>
  <c r="P80" i="19"/>
  <c r="O80" i="19"/>
  <c r="X79" i="19"/>
  <c r="W79" i="19"/>
  <c r="V79" i="19"/>
  <c r="U79" i="19"/>
  <c r="T79" i="19"/>
  <c r="S79" i="19"/>
  <c r="R79" i="19"/>
  <c r="Q79" i="19"/>
  <c r="P79" i="19"/>
  <c r="O79" i="19"/>
  <c r="X78" i="19"/>
  <c r="W78" i="19"/>
  <c r="V78" i="19"/>
  <c r="U78" i="19"/>
  <c r="T78" i="19"/>
  <c r="S78" i="19"/>
  <c r="R78" i="19"/>
  <c r="Q78" i="19"/>
  <c r="P78" i="19"/>
  <c r="O78" i="19"/>
  <c r="X77" i="19"/>
  <c r="W77" i="19"/>
  <c r="V77" i="19"/>
  <c r="U77" i="19"/>
  <c r="T77" i="19"/>
  <c r="S77" i="19"/>
  <c r="R77" i="19"/>
  <c r="Q77" i="19"/>
  <c r="P77" i="19"/>
  <c r="O77" i="19"/>
  <c r="X76" i="19"/>
  <c r="W76" i="19"/>
  <c r="V76" i="19"/>
  <c r="U76" i="19"/>
  <c r="T76" i="19"/>
  <c r="S76" i="19"/>
  <c r="R76" i="19"/>
  <c r="Q76" i="19"/>
  <c r="P76" i="19"/>
  <c r="O76" i="19"/>
  <c r="X75" i="19"/>
  <c r="W75" i="19"/>
  <c r="V75" i="19"/>
  <c r="U75" i="19"/>
  <c r="T75" i="19"/>
  <c r="S75" i="19"/>
  <c r="R75" i="19"/>
  <c r="Q75" i="19"/>
  <c r="P75" i="19"/>
  <c r="O75" i="19"/>
  <c r="X74" i="19"/>
  <c r="W74" i="19"/>
  <c r="V74" i="19"/>
  <c r="U74" i="19"/>
  <c r="T74" i="19"/>
  <c r="S74" i="19"/>
  <c r="R74" i="19"/>
  <c r="Q74" i="19"/>
  <c r="P74" i="19"/>
  <c r="O74" i="19"/>
  <c r="X73" i="19"/>
  <c r="W73" i="19"/>
  <c r="V73" i="19"/>
  <c r="U73" i="19"/>
  <c r="T73" i="19"/>
  <c r="S73" i="19"/>
  <c r="R73" i="19"/>
  <c r="Q73" i="19"/>
  <c r="P73" i="19"/>
  <c r="O73" i="19"/>
  <c r="X72" i="19"/>
  <c r="W72" i="19"/>
  <c r="V72" i="19"/>
  <c r="U72" i="19"/>
  <c r="T72" i="19"/>
  <c r="S72" i="19"/>
  <c r="R72" i="19"/>
  <c r="Q72" i="19"/>
  <c r="P72" i="19"/>
  <c r="O72" i="19"/>
  <c r="X71" i="19"/>
  <c r="W71" i="19"/>
  <c r="V71" i="19"/>
  <c r="U71" i="19"/>
  <c r="T71" i="19"/>
  <c r="S71" i="19"/>
  <c r="R71" i="19"/>
  <c r="Q71" i="19"/>
  <c r="P71" i="19"/>
  <c r="O71" i="19"/>
  <c r="X70" i="19"/>
  <c r="W70" i="19"/>
  <c r="V70" i="19"/>
  <c r="U70" i="19"/>
  <c r="T70" i="19"/>
  <c r="S70" i="19"/>
  <c r="R70" i="19"/>
  <c r="Q70" i="19"/>
  <c r="P70" i="19"/>
  <c r="O70" i="19"/>
  <c r="X69" i="19"/>
  <c r="W69" i="19"/>
  <c r="V69" i="19"/>
  <c r="U69" i="19"/>
  <c r="T69" i="19"/>
  <c r="S69" i="19"/>
  <c r="R69" i="19"/>
  <c r="Q69" i="19"/>
  <c r="P69" i="19"/>
  <c r="O69" i="19"/>
  <c r="X68" i="19"/>
  <c r="W68" i="19"/>
  <c r="V68" i="19"/>
  <c r="U68" i="19"/>
  <c r="T68" i="19"/>
  <c r="S68" i="19"/>
  <c r="R68" i="19"/>
  <c r="Q68" i="19"/>
  <c r="P68" i="19"/>
  <c r="O68" i="19"/>
  <c r="X82" i="15"/>
  <c r="W82" i="15"/>
  <c r="V82" i="15"/>
  <c r="U82" i="15"/>
  <c r="T82" i="15"/>
  <c r="S82" i="15"/>
  <c r="R82" i="15"/>
  <c r="Q82" i="15"/>
  <c r="P82" i="15"/>
  <c r="O82" i="15"/>
  <c r="X81" i="15"/>
  <c r="W81" i="15"/>
  <c r="V81" i="15"/>
  <c r="U81" i="15"/>
  <c r="T81" i="15"/>
  <c r="S81" i="15"/>
  <c r="R81" i="15"/>
  <c r="Q81" i="15"/>
  <c r="P81" i="15"/>
  <c r="O81" i="15"/>
  <c r="X80" i="15"/>
  <c r="W80" i="15"/>
  <c r="V80" i="15"/>
  <c r="U80" i="15"/>
  <c r="T80" i="15"/>
  <c r="S80" i="15"/>
  <c r="R80" i="15"/>
  <c r="Q80" i="15"/>
  <c r="P80" i="15"/>
  <c r="O80" i="15"/>
  <c r="X79" i="15"/>
  <c r="W79" i="15"/>
  <c r="V79" i="15"/>
  <c r="U79" i="15"/>
  <c r="T79" i="15"/>
  <c r="S79" i="15"/>
  <c r="R79" i="15"/>
  <c r="Q79" i="15"/>
  <c r="P79" i="15"/>
  <c r="O79" i="15"/>
  <c r="X78" i="15"/>
  <c r="W78" i="15"/>
  <c r="V78" i="15"/>
  <c r="U78" i="15"/>
  <c r="T78" i="15"/>
  <c r="S78" i="15"/>
  <c r="R78" i="15"/>
  <c r="Q78" i="15"/>
  <c r="P78" i="15"/>
  <c r="O78" i="15"/>
  <c r="X77" i="15"/>
  <c r="W77" i="15"/>
  <c r="V77" i="15"/>
  <c r="U77" i="15"/>
  <c r="T77" i="15"/>
  <c r="S77" i="15"/>
  <c r="R77" i="15"/>
  <c r="Q77" i="15"/>
  <c r="P77" i="15"/>
  <c r="O77" i="15"/>
  <c r="X76" i="15"/>
  <c r="W76" i="15"/>
  <c r="V76" i="15"/>
  <c r="U76" i="15"/>
  <c r="T76" i="15"/>
  <c r="S76" i="15"/>
  <c r="R76" i="15"/>
  <c r="Q76" i="15"/>
  <c r="P76" i="15"/>
  <c r="O76" i="15"/>
  <c r="X75" i="15"/>
  <c r="W75" i="15"/>
  <c r="V75" i="15"/>
  <c r="U75" i="15"/>
  <c r="T75" i="15"/>
  <c r="S75" i="15"/>
  <c r="R75" i="15"/>
  <c r="Q75" i="15"/>
  <c r="P75" i="15"/>
  <c r="O75" i="15"/>
  <c r="X74" i="15"/>
  <c r="W74" i="15"/>
  <c r="V74" i="15"/>
  <c r="U74" i="15"/>
  <c r="T74" i="15"/>
  <c r="S74" i="15"/>
  <c r="R74" i="15"/>
  <c r="Q74" i="15"/>
  <c r="P74" i="15"/>
  <c r="O74" i="15"/>
  <c r="X73" i="15"/>
  <c r="W73" i="15"/>
  <c r="V73" i="15"/>
  <c r="U73" i="15"/>
  <c r="T73" i="15"/>
  <c r="S73" i="15"/>
  <c r="R73" i="15"/>
  <c r="Q73" i="15"/>
  <c r="P73" i="15"/>
  <c r="O73" i="15"/>
  <c r="X72" i="15"/>
  <c r="W72" i="15"/>
  <c r="V72" i="15"/>
  <c r="U72" i="15"/>
  <c r="T72" i="15"/>
  <c r="S72" i="15"/>
  <c r="R72" i="15"/>
  <c r="Q72" i="15"/>
  <c r="P72" i="15"/>
  <c r="O72" i="15"/>
  <c r="X71" i="15"/>
  <c r="W71" i="15"/>
  <c r="V71" i="15"/>
  <c r="U71" i="15"/>
  <c r="T71" i="15"/>
  <c r="S71" i="15"/>
  <c r="R71" i="15"/>
  <c r="Q71" i="15"/>
  <c r="P71" i="15"/>
  <c r="O71" i="15"/>
  <c r="X70" i="15"/>
  <c r="W70" i="15"/>
  <c r="V70" i="15"/>
  <c r="U70" i="15"/>
  <c r="T70" i="15"/>
  <c r="S70" i="15"/>
  <c r="R70" i="15"/>
  <c r="Q70" i="15"/>
  <c r="P70" i="15"/>
  <c r="O70" i="15"/>
  <c r="X69" i="15"/>
  <c r="W69" i="15"/>
  <c r="V69" i="15"/>
  <c r="U69" i="15"/>
  <c r="T69" i="15"/>
  <c r="S69" i="15"/>
  <c r="R69" i="15"/>
  <c r="Q69" i="15"/>
  <c r="P69" i="15"/>
  <c r="O69" i="15"/>
  <c r="X68" i="15"/>
  <c r="W68" i="15"/>
  <c r="V68" i="15"/>
  <c r="U68" i="15"/>
  <c r="T68" i="15"/>
  <c r="S68" i="15"/>
  <c r="R68" i="15"/>
  <c r="Q68" i="15"/>
  <c r="P68" i="15"/>
  <c r="O68" i="15"/>
  <c r="AO82" i="23"/>
  <c r="AN82" i="23"/>
  <c r="AM82" i="23"/>
  <c r="AL82" i="23"/>
  <c r="Z82" i="23"/>
  <c r="AJ82" i="23"/>
  <c r="AI82" i="23"/>
  <c r="AH82" i="23"/>
  <c r="AN65" i="23"/>
  <c r="AJ65" i="23"/>
  <c r="X65" i="23"/>
  <c r="W65" i="23"/>
  <c r="AO65" i="23" s="1"/>
  <c r="V65" i="23"/>
  <c r="U65" i="23"/>
  <c r="AM65" i="23" s="1"/>
  <c r="T65" i="23"/>
  <c r="AL65" i="23" s="1"/>
  <c r="S65" i="23"/>
  <c r="AK65" i="23" s="1"/>
  <c r="R65" i="23"/>
  <c r="Q65" i="23"/>
  <c r="AI65" i="23" s="1"/>
  <c r="P65" i="23"/>
  <c r="AH65" i="23" s="1"/>
  <c r="O65" i="23"/>
  <c r="AG65" i="23" s="1"/>
  <c r="AL64" i="23"/>
  <c r="X64" i="23"/>
  <c r="W64" i="23"/>
  <c r="AO64" i="23" s="1"/>
  <c r="V64" i="23"/>
  <c r="AN64" i="23" s="1"/>
  <c r="U64" i="23"/>
  <c r="AM64" i="23" s="1"/>
  <c r="T64" i="23"/>
  <c r="S64" i="23"/>
  <c r="R64" i="23"/>
  <c r="AJ64" i="23" s="1"/>
  <c r="Q64" i="23"/>
  <c r="AI64" i="23" s="1"/>
  <c r="P64" i="23"/>
  <c r="AH64" i="23" s="1"/>
  <c r="O64" i="23"/>
  <c r="AN63" i="23"/>
  <c r="AJ63" i="23"/>
  <c r="X63" i="23"/>
  <c r="W63" i="23"/>
  <c r="AO63" i="23" s="1"/>
  <c r="V63" i="23"/>
  <c r="AA63" i="23" s="1"/>
  <c r="U63" i="23"/>
  <c r="AM63" i="23" s="1"/>
  <c r="T63" i="23"/>
  <c r="AL63" i="23" s="1"/>
  <c r="S63" i="23"/>
  <c r="AK63" i="23" s="1"/>
  <c r="R63" i="23"/>
  <c r="Q63" i="23"/>
  <c r="AI63" i="23" s="1"/>
  <c r="P63" i="23"/>
  <c r="AH63" i="23" s="1"/>
  <c r="O63" i="23"/>
  <c r="AG63" i="23" s="1"/>
  <c r="AC63" i="23" s="1"/>
  <c r="X62" i="23"/>
  <c r="W62" i="23"/>
  <c r="V62" i="23"/>
  <c r="AN62" i="23" s="1"/>
  <c r="U62" i="23"/>
  <c r="T62" i="23"/>
  <c r="AL62" i="23" s="1"/>
  <c r="S62" i="23"/>
  <c r="R62" i="23"/>
  <c r="AT62" i="23" s="1"/>
  <c r="AJ81" i="23" s="1"/>
  <c r="Q62" i="23"/>
  <c r="AI62" i="23" s="1"/>
  <c r="P62" i="23"/>
  <c r="AH62" i="23" s="1"/>
  <c r="O62" i="23"/>
  <c r="Y62" i="23" s="1"/>
  <c r="X61" i="23"/>
  <c r="W61" i="23"/>
  <c r="AO61" i="23" s="1"/>
  <c r="V61" i="23"/>
  <c r="U61" i="23"/>
  <c r="AM61" i="23" s="1"/>
  <c r="T61" i="23"/>
  <c r="AL61" i="23" s="1"/>
  <c r="S61" i="23"/>
  <c r="R61" i="23"/>
  <c r="AJ61" i="23" s="1"/>
  <c r="Q61" i="23"/>
  <c r="AI61" i="23" s="1"/>
  <c r="P61" i="23"/>
  <c r="AH61" i="23" s="1"/>
  <c r="O61" i="23"/>
  <c r="AG61" i="23" s="1"/>
  <c r="X60" i="23"/>
  <c r="W60" i="23"/>
  <c r="AO60" i="23" s="1"/>
  <c r="V60" i="23"/>
  <c r="AN60" i="23" s="1"/>
  <c r="U60" i="23"/>
  <c r="AM60" i="23" s="1"/>
  <c r="T60" i="23"/>
  <c r="AL60" i="23" s="1"/>
  <c r="S60" i="23"/>
  <c r="AK60" i="23" s="1"/>
  <c r="R60" i="23"/>
  <c r="AJ60" i="23" s="1"/>
  <c r="Q60" i="23"/>
  <c r="AI60" i="23" s="1"/>
  <c r="P60" i="23"/>
  <c r="AH60" i="23" s="1"/>
  <c r="O60" i="23"/>
  <c r="AG59" i="23"/>
  <c r="X59" i="23"/>
  <c r="W59" i="23"/>
  <c r="AO59" i="23" s="1"/>
  <c r="V59" i="23"/>
  <c r="U59" i="23"/>
  <c r="AM59" i="23" s="1"/>
  <c r="T59" i="23"/>
  <c r="AL59" i="23" s="1"/>
  <c r="S59" i="23"/>
  <c r="R59" i="23"/>
  <c r="AJ59" i="23" s="1"/>
  <c r="Q59" i="23"/>
  <c r="AI59" i="23" s="1"/>
  <c r="P59" i="23"/>
  <c r="AH59" i="23" s="1"/>
  <c r="O59" i="23"/>
  <c r="AJ58" i="23"/>
  <c r="X58" i="23"/>
  <c r="W58" i="23"/>
  <c r="AO58" i="23" s="1"/>
  <c r="V58" i="23"/>
  <c r="AN58" i="23" s="1"/>
  <c r="U58" i="23"/>
  <c r="T58" i="23"/>
  <c r="AV58" i="23" s="1"/>
  <c r="AL80" i="23" s="1"/>
  <c r="S58" i="23"/>
  <c r="R58" i="23"/>
  <c r="Q58" i="23"/>
  <c r="AI58" i="23" s="1"/>
  <c r="P58" i="23"/>
  <c r="O58" i="23"/>
  <c r="AG58" i="23" s="1"/>
  <c r="AH57" i="23"/>
  <c r="X57" i="23"/>
  <c r="W57" i="23"/>
  <c r="AO57" i="23" s="1"/>
  <c r="V57" i="23"/>
  <c r="AN57" i="23" s="1"/>
  <c r="U57" i="23"/>
  <c r="AM57" i="23" s="1"/>
  <c r="T57" i="23"/>
  <c r="AL57" i="23" s="1"/>
  <c r="S57" i="23"/>
  <c r="R57" i="23"/>
  <c r="AJ57" i="23" s="1"/>
  <c r="Q57" i="23"/>
  <c r="AI57" i="23" s="1"/>
  <c r="P57" i="23"/>
  <c r="O57" i="23"/>
  <c r="AJ56" i="23"/>
  <c r="X56" i="23"/>
  <c r="W56" i="23"/>
  <c r="AO56" i="23" s="1"/>
  <c r="V56" i="23"/>
  <c r="U56" i="23"/>
  <c r="AM56" i="23" s="1"/>
  <c r="T56" i="23"/>
  <c r="AL56" i="23" s="1"/>
  <c r="S56" i="23"/>
  <c r="AK56" i="23" s="1"/>
  <c r="R56" i="23"/>
  <c r="Q56" i="23"/>
  <c r="AI56" i="23" s="1"/>
  <c r="P56" i="23"/>
  <c r="AH56" i="23" s="1"/>
  <c r="O56" i="23"/>
  <c r="AG56" i="23" s="1"/>
  <c r="AH55" i="23"/>
  <c r="X55" i="23"/>
  <c r="W55" i="23"/>
  <c r="V55" i="23"/>
  <c r="AN55" i="23" s="1"/>
  <c r="U55" i="23"/>
  <c r="AM55" i="23" s="1"/>
  <c r="T55" i="23"/>
  <c r="AL55" i="23" s="1"/>
  <c r="S55" i="23"/>
  <c r="R55" i="23"/>
  <c r="AJ55" i="23" s="1"/>
  <c r="Q55" i="23"/>
  <c r="AI55" i="23" s="1"/>
  <c r="P55" i="23"/>
  <c r="O55" i="23"/>
  <c r="AK54" i="23"/>
  <c r="Z54" i="23"/>
  <c r="X54" i="23"/>
  <c r="W54" i="23"/>
  <c r="AO54" i="23" s="1"/>
  <c r="V54" i="23"/>
  <c r="U54" i="23"/>
  <c r="T54" i="23"/>
  <c r="S54" i="23"/>
  <c r="R54" i="23"/>
  <c r="AJ54" i="23" s="1"/>
  <c r="Q54" i="23"/>
  <c r="P54" i="23"/>
  <c r="AH54" i="23" s="1"/>
  <c r="O54" i="23"/>
  <c r="AG54" i="23" s="1"/>
  <c r="AI53" i="23"/>
  <c r="X53" i="23"/>
  <c r="W53" i="23"/>
  <c r="AO53" i="23" s="1"/>
  <c r="V53" i="23"/>
  <c r="AN53" i="23" s="1"/>
  <c r="U53" i="23"/>
  <c r="AM53" i="23" s="1"/>
  <c r="T53" i="23"/>
  <c r="AL53" i="23" s="1"/>
  <c r="S53" i="23"/>
  <c r="AK53" i="23" s="1"/>
  <c r="R53" i="23"/>
  <c r="AJ53" i="23" s="1"/>
  <c r="Q53" i="23"/>
  <c r="P53" i="23"/>
  <c r="O53" i="23"/>
  <c r="AO52" i="23"/>
  <c r="AK52" i="23"/>
  <c r="AG52" i="23"/>
  <c r="Z52" i="23"/>
  <c r="X52" i="23"/>
  <c r="W52" i="23"/>
  <c r="V52" i="23"/>
  <c r="U52" i="23"/>
  <c r="AM52" i="23" s="1"/>
  <c r="T52" i="23"/>
  <c r="AL52" i="23" s="1"/>
  <c r="S52" i="23"/>
  <c r="R52" i="23"/>
  <c r="AJ52" i="23" s="1"/>
  <c r="Q52" i="23"/>
  <c r="AI52" i="23" s="1"/>
  <c r="P52" i="23"/>
  <c r="AH52" i="23" s="1"/>
  <c r="O52" i="23"/>
  <c r="AM51" i="23"/>
  <c r="AI51" i="23"/>
  <c r="X51" i="23"/>
  <c r="W51" i="23"/>
  <c r="AO51" i="23" s="1"/>
  <c r="V51" i="23"/>
  <c r="AN51" i="23" s="1"/>
  <c r="U51" i="23"/>
  <c r="T51" i="23"/>
  <c r="AL51" i="23" s="1"/>
  <c r="S51" i="23"/>
  <c r="AK51" i="23" s="1"/>
  <c r="R51" i="23"/>
  <c r="AJ51" i="23" s="1"/>
  <c r="Q51" i="23"/>
  <c r="P51" i="23"/>
  <c r="AH51" i="23" s="1"/>
  <c r="O51" i="23"/>
  <c r="AQ50" i="23"/>
  <c r="AA50" i="23"/>
  <c r="X50" i="23"/>
  <c r="W50" i="23"/>
  <c r="AO50" i="23" s="1"/>
  <c r="V50" i="23"/>
  <c r="U50" i="23"/>
  <c r="T50" i="23"/>
  <c r="AV50" i="23" s="1"/>
  <c r="AL78" i="23" s="1"/>
  <c r="S50" i="23"/>
  <c r="R50" i="23"/>
  <c r="AT50" i="23" s="1"/>
  <c r="Q50" i="23"/>
  <c r="AI50" i="23" s="1"/>
  <c r="P50" i="23"/>
  <c r="AH50" i="23" s="1"/>
  <c r="O50" i="23"/>
  <c r="X49" i="23"/>
  <c r="W49" i="23"/>
  <c r="V49" i="23"/>
  <c r="AN49" i="23" s="1"/>
  <c r="U49" i="23"/>
  <c r="AM49" i="23" s="1"/>
  <c r="T49" i="23"/>
  <c r="AL49" i="23" s="1"/>
  <c r="S49" i="23"/>
  <c r="R49" i="23"/>
  <c r="AJ49" i="23" s="1"/>
  <c r="Q49" i="23"/>
  <c r="AI49" i="23" s="1"/>
  <c r="P49" i="23"/>
  <c r="AH49" i="23" s="1"/>
  <c r="O49" i="23"/>
  <c r="X48" i="23"/>
  <c r="W48" i="23"/>
  <c r="AO48" i="23" s="1"/>
  <c r="V48" i="23"/>
  <c r="U48" i="23"/>
  <c r="AM48" i="23" s="1"/>
  <c r="T48" i="23"/>
  <c r="AL48" i="23" s="1"/>
  <c r="S48" i="23"/>
  <c r="AK48" i="23" s="1"/>
  <c r="R48" i="23"/>
  <c r="AJ48" i="23" s="1"/>
  <c r="Q48" i="23"/>
  <c r="P48" i="23"/>
  <c r="AH48" i="23" s="1"/>
  <c r="O48" i="23"/>
  <c r="AG48" i="23" s="1"/>
  <c r="X47" i="23"/>
  <c r="W47" i="23"/>
  <c r="AO47" i="23" s="1"/>
  <c r="V47" i="23"/>
  <c r="AN47" i="23" s="1"/>
  <c r="U47" i="23"/>
  <c r="AM47" i="23" s="1"/>
  <c r="T47" i="23"/>
  <c r="AL47" i="23" s="1"/>
  <c r="S47" i="23"/>
  <c r="R47" i="23"/>
  <c r="AJ47" i="23" s="1"/>
  <c r="Q47" i="23"/>
  <c r="AI47" i="23" s="1"/>
  <c r="P47" i="23"/>
  <c r="AH47" i="23" s="1"/>
  <c r="O47" i="23"/>
  <c r="AG46" i="23"/>
  <c r="X46" i="23"/>
  <c r="W46" i="23"/>
  <c r="AO46" i="23" s="1"/>
  <c r="V46" i="23"/>
  <c r="U46" i="23"/>
  <c r="T46" i="23"/>
  <c r="S46" i="23"/>
  <c r="R46" i="23"/>
  <c r="Q46" i="23"/>
  <c r="P46" i="23"/>
  <c r="O46" i="23"/>
  <c r="AI45" i="23"/>
  <c r="X45" i="23"/>
  <c r="W45" i="23"/>
  <c r="AO45" i="23" s="1"/>
  <c r="V45" i="23"/>
  <c r="AN45" i="23" s="1"/>
  <c r="U45" i="23"/>
  <c r="AM45" i="23" s="1"/>
  <c r="T45" i="23"/>
  <c r="AL45" i="23" s="1"/>
  <c r="S45" i="23"/>
  <c r="AK45" i="23" s="1"/>
  <c r="R45" i="23"/>
  <c r="AJ45" i="23" s="1"/>
  <c r="Q45" i="23"/>
  <c r="P45" i="23"/>
  <c r="O45" i="23"/>
  <c r="AG45" i="23" s="1"/>
  <c r="AK44" i="23"/>
  <c r="Z44" i="23"/>
  <c r="X44" i="23"/>
  <c r="W44" i="23"/>
  <c r="AO44" i="23" s="1"/>
  <c r="V44" i="23"/>
  <c r="AN44" i="23" s="1"/>
  <c r="U44" i="23"/>
  <c r="AM44" i="23" s="1"/>
  <c r="T44" i="23"/>
  <c r="AL44" i="23" s="1"/>
  <c r="S44" i="23"/>
  <c r="R44" i="23"/>
  <c r="Q44" i="23"/>
  <c r="P44" i="23"/>
  <c r="AH44" i="23" s="1"/>
  <c r="O44" i="23"/>
  <c r="AG44" i="23" s="1"/>
  <c r="AI43" i="23"/>
  <c r="X43" i="23"/>
  <c r="W43" i="23"/>
  <c r="AO43" i="23" s="1"/>
  <c r="V43" i="23"/>
  <c r="U43" i="23"/>
  <c r="AM43" i="23" s="1"/>
  <c r="T43" i="23"/>
  <c r="AL43" i="23" s="1"/>
  <c r="S43" i="23"/>
  <c r="AK43" i="23" s="1"/>
  <c r="R43" i="23"/>
  <c r="AJ43" i="23" s="1"/>
  <c r="Q43" i="23"/>
  <c r="P43" i="23"/>
  <c r="AH43" i="23" s="1"/>
  <c r="O43" i="23"/>
  <c r="Y43" i="23" s="1"/>
  <c r="AL42" i="23"/>
  <c r="AJ42" i="23"/>
  <c r="AH42" i="23"/>
  <c r="X42" i="23"/>
  <c r="W42" i="23"/>
  <c r="AO42" i="23" s="1"/>
  <c r="V42" i="23"/>
  <c r="U42" i="23"/>
  <c r="T42" i="23"/>
  <c r="S42" i="23"/>
  <c r="AK42" i="23" s="1"/>
  <c r="R42" i="23"/>
  <c r="AT42" i="23" s="1"/>
  <c r="AJ76" i="23" s="1"/>
  <c r="Q42" i="23"/>
  <c r="AI42" i="23" s="1"/>
  <c r="P42" i="23"/>
  <c r="O42" i="23"/>
  <c r="AN41" i="23"/>
  <c r="AM41" i="23"/>
  <c r="AA41" i="23"/>
  <c r="X41" i="23"/>
  <c r="W41" i="23"/>
  <c r="AO41" i="23" s="1"/>
  <c r="V41" i="23"/>
  <c r="U41" i="23"/>
  <c r="T41" i="23"/>
  <c r="AL41" i="23" s="1"/>
  <c r="S41" i="23"/>
  <c r="R41" i="23"/>
  <c r="AJ41" i="23" s="1"/>
  <c r="Q41" i="23"/>
  <c r="AI41" i="23" s="1"/>
  <c r="P41" i="23"/>
  <c r="AH41" i="23" s="1"/>
  <c r="O41" i="23"/>
  <c r="AG41" i="23" s="1"/>
  <c r="AG40" i="23"/>
  <c r="X40" i="23"/>
  <c r="W40" i="23"/>
  <c r="AO40" i="23" s="1"/>
  <c r="V40" i="23"/>
  <c r="U40" i="23"/>
  <c r="AM40" i="23" s="1"/>
  <c r="T40" i="23"/>
  <c r="AL40" i="23" s="1"/>
  <c r="S40" i="23"/>
  <c r="R40" i="23"/>
  <c r="AJ40" i="23" s="1"/>
  <c r="Q40" i="23"/>
  <c r="AI40" i="23" s="1"/>
  <c r="P40" i="23"/>
  <c r="AH40" i="23" s="1"/>
  <c r="O40" i="23"/>
  <c r="X39" i="23"/>
  <c r="W39" i="23"/>
  <c r="AO39" i="23" s="1"/>
  <c r="V39" i="23"/>
  <c r="U39" i="23"/>
  <c r="AM39" i="23" s="1"/>
  <c r="T39" i="23"/>
  <c r="AL39" i="23" s="1"/>
  <c r="S39" i="23"/>
  <c r="R39" i="23"/>
  <c r="AJ39" i="23" s="1"/>
  <c r="Q39" i="23"/>
  <c r="P39" i="23"/>
  <c r="O39" i="23"/>
  <c r="AG39" i="23" s="1"/>
  <c r="AM38" i="23"/>
  <c r="AK38" i="23"/>
  <c r="AJ38" i="23"/>
  <c r="AI38" i="23"/>
  <c r="X38" i="23"/>
  <c r="W38" i="23"/>
  <c r="AO38" i="23" s="1"/>
  <c r="V38" i="23"/>
  <c r="U38" i="23"/>
  <c r="T38" i="23"/>
  <c r="AL38" i="23" s="1"/>
  <c r="S38" i="23"/>
  <c r="R38" i="23"/>
  <c r="Q38" i="23"/>
  <c r="P38" i="23"/>
  <c r="AH38" i="23" s="1"/>
  <c r="O38" i="23"/>
  <c r="AG38" i="23" s="1"/>
  <c r="AO37" i="23"/>
  <c r="AG37" i="23"/>
  <c r="X37" i="23"/>
  <c r="V37" i="23"/>
  <c r="AN37" i="23" s="1"/>
  <c r="U37" i="23"/>
  <c r="AM37" i="23" s="1"/>
  <c r="T37" i="23"/>
  <c r="AL37" i="23" s="1"/>
  <c r="S37" i="23"/>
  <c r="AJ37" i="23"/>
  <c r="AI37" i="23"/>
  <c r="AH37" i="23"/>
  <c r="AN36" i="23"/>
  <c r="AM36" i="23"/>
  <c r="X36" i="23"/>
  <c r="AO36" i="23"/>
  <c r="V36" i="23"/>
  <c r="AA36" i="23" s="1"/>
  <c r="U36" i="23"/>
  <c r="T36" i="23"/>
  <c r="AL36" i="23" s="1"/>
  <c r="S36" i="23"/>
  <c r="AJ36" i="23"/>
  <c r="AI36" i="23"/>
  <c r="AH36" i="23"/>
  <c r="AO35" i="23"/>
  <c r="X35" i="23"/>
  <c r="V35" i="23"/>
  <c r="AN35" i="23" s="1"/>
  <c r="U35" i="23"/>
  <c r="AM35" i="23" s="1"/>
  <c r="T35" i="23"/>
  <c r="AL35" i="23" s="1"/>
  <c r="S35" i="23"/>
  <c r="AT34" i="23"/>
  <c r="AJ74" i="23" s="1"/>
  <c r="AI35" i="23"/>
  <c r="AH35" i="23"/>
  <c r="AG35" i="23"/>
  <c r="AA34" i="23"/>
  <c r="X34" i="23"/>
  <c r="AY34" i="23"/>
  <c r="AO74" i="23" s="1"/>
  <c r="V34" i="23"/>
  <c r="AN34" i="23" s="1"/>
  <c r="AM34" i="23"/>
  <c r="T34" i="23"/>
  <c r="S34" i="23"/>
  <c r="AK34" i="23" s="1"/>
  <c r="AJ34" i="23"/>
  <c r="AI34" i="23"/>
  <c r="AH34" i="23"/>
  <c r="AN33" i="23"/>
  <c r="AG33" i="23"/>
  <c r="X33" i="23"/>
  <c r="AO33" i="23"/>
  <c r="AM33" i="23"/>
  <c r="T33" i="23"/>
  <c r="AL33" i="23" s="1"/>
  <c r="S33" i="23"/>
  <c r="AJ33" i="23"/>
  <c r="AI33" i="23"/>
  <c r="AH33" i="23"/>
  <c r="AO32" i="23"/>
  <c r="AM32" i="23"/>
  <c r="AJ32" i="23"/>
  <c r="X32" i="23"/>
  <c r="AA32" i="23"/>
  <c r="T32" i="23"/>
  <c r="AL32" i="23" s="1"/>
  <c r="S32" i="23"/>
  <c r="AK32" i="23" s="1"/>
  <c r="AG32" i="23"/>
  <c r="AL31" i="23"/>
  <c r="AK31" i="23"/>
  <c r="X31" i="23"/>
  <c r="AO31" i="23"/>
  <c r="AN31" i="23"/>
  <c r="AM31" i="23"/>
  <c r="T31" i="23"/>
  <c r="AH31" i="23"/>
  <c r="AG31" i="23"/>
  <c r="AO30" i="23"/>
  <c r="X30" i="23"/>
  <c r="AN30" i="23"/>
  <c r="AM30" i="23"/>
  <c r="T30" i="23"/>
  <c r="AL30" i="23" s="1"/>
  <c r="AJ30" i="23"/>
  <c r="AI30" i="23"/>
  <c r="AG30" i="23"/>
  <c r="X29" i="23"/>
  <c r="AO29" i="23"/>
  <c r="AN29" i="23"/>
  <c r="AM29" i="23"/>
  <c r="T29" i="23"/>
  <c r="AL29" i="23" s="1"/>
  <c r="AJ29" i="23"/>
  <c r="AI29" i="23"/>
  <c r="AH29" i="23"/>
  <c r="AG29" i="23"/>
  <c r="X28" i="23"/>
  <c r="AO28" i="23"/>
  <c r="AN28" i="23"/>
  <c r="AM28" i="23"/>
  <c r="T28" i="23"/>
  <c r="AL28" i="23" s="1"/>
  <c r="AK28" i="23"/>
  <c r="AJ28" i="23"/>
  <c r="AI28" i="23"/>
  <c r="AH28" i="23"/>
  <c r="AG28" i="23"/>
  <c r="AK27" i="23"/>
  <c r="AJ27" i="23"/>
  <c r="AI27" i="23"/>
  <c r="X27" i="23"/>
  <c r="AO27" i="23"/>
  <c r="AN27" i="23"/>
  <c r="AM27" i="23"/>
  <c r="T27" i="23"/>
  <c r="AL27" i="23" s="1"/>
  <c r="AH27" i="23"/>
  <c r="AG27" i="23"/>
  <c r="AO26" i="23"/>
  <c r="AN26" i="23"/>
  <c r="AM26" i="23"/>
  <c r="AA26" i="23"/>
  <c r="X26" i="23"/>
  <c r="T26" i="23"/>
  <c r="AL26" i="23" s="1"/>
  <c r="AJ26" i="23"/>
  <c r="AS26" i="23"/>
  <c r="AI72" i="23" s="1"/>
  <c r="AH26" i="23"/>
  <c r="AG26" i="23"/>
  <c r="AN25" i="23"/>
  <c r="X25" i="23"/>
  <c r="AO25" i="23"/>
  <c r="AM25" i="23"/>
  <c r="T25" i="23"/>
  <c r="AL25" i="23" s="1"/>
  <c r="AK25" i="23"/>
  <c r="AJ25" i="23"/>
  <c r="AI25" i="23"/>
  <c r="AH25" i="23"/>
  <c r="AK24" i="23"/>
  <c r="AI24" i="23"/>
  <c r="X24" i="23"/>
  <c r="AO24" i="23"/>
  <c r="AN24" i="23"/>
  <c r="AM24" i="23"/>
  <c r="AL24" i="23"/>
  <c r="AJ24" i="23"/>
  <c r="AH24" i="23"/>
  <c r="AG24" i="23"/>
  <c r="AI23" i="23"/>
  <c r="X23" i="23"/>
  <c r="AO23" i="23"/>
  <c r="U23" i="23"/>
  <c r="AW22" i="23" s="1"/>
  <c r="AM71" i="23" s="1"/>
  <c r="T23" i="23"/>
  <c r="AL23" i="23" s="1"/>
  <c r="S23" i="23"/>
  <c r="AJ23" i="23"/>
  <c r="Y23" i="23"/>
  <c r="AH23" i="23"/>
  <c r="AG23" i="23"/>
  <c r="AO22" i="23"/>
  <c r="AN22" i="23"/>
  <c r="AM22" i="23"/>
  <c r="AL22" i="23"/>
  <c r="AI22" i="23"/>
  <c r="AA22" i="23"/>
  <c r="X22" i="23"/>
  <c r="U22" i="23"/>
  <c r="T22" i="23"/>
  <c r="S22" i="23"/>
  <c r="AS22" i="23"/>
  <c r="AI71" i="23" s="1"/>
  <c r="AH22" i="23"/>
  <c r="X21" i="23"/>
  <c r="AO21" i="23"/>
  <c r="AN21" i="23"/>
  <c r="U21" i="23"/>
  <c r="AM21" i="23" s="1"/>
  <c r="T21" i="23"/>
  <c r="AL21" i="23" s="1"/>
  <c r="S21" i="23"/>
  <c r="AK21" i="23" s="1"/>
  <c r="AJ21" i="23"/>
  <c r="AI21" i="23"/>
  <c r="AH21" i="23"/>
  <c r="AG21" i="23"/>
  <c r="X20" i="23"/>
  <c r="AO20" i="23"/>
  <c r="AN20" i="23"/>
  <c r="U20" i="23"/>
  <c r="AM20" i="23" s="1"/>
  <c r="T20" i="23"/>
  <c r="AL20" i="23" s="1"/>
  <c r="S20" i="23"/>
  <c r="AB20" i="23" s="1"/>
  <c r="AJ20" i="23"/>
  <c r="AI20" i="23"/>
  <c r="AH20" i="23"/>
  <c r="AG20" i="23"/>
  <c r="AG19" i="23"/>
  <c r="X19" i="23"/>
  <c r="U19" i="23"/>
  <c r="AM19" i="23" s="1"/>
  <c r="T19" i="23"/>
  <c r="AL19" i="23" s="1"/>
  <c r="S19" i="23"/>
  <c r="AJ19" i="23"/>
  <c r="AI19" i="23"/>
  <c r="AH19" i="23"/>
  <c r="AN18" i="23"/>
  <c r="AM18" i="23"/>
  <c r="AJ18" i="23"/>
  <c r="X18" i="23"/>
  <c r="AO18" i="23"/>
  <c r="AA18" i="23"/>
  <c r="T18" i="23"/>
  <c r="AL18" i="23" s="1"/>
  <c r="S18" i="23"/>
  <c r="AI18" i="23"/>
  <c r="AH18" i="23"/>
  <c r="AG18" i="23"/>
  <c r="AL17" i="23"/>
  <c r="AJ17" i="23"/>
  <c r="AI17" i="23"/>
  <c r="X17" i="23"/>
  <c r="AO17" i="23"/>
  <c r="AN17" i="23"/>
  <c r="AM17" i="23"/>
  <c r="T17" i="23"/>
  <c r="S17" i="23"/>
  <c r="AH17" i="23"/>
  <c r="AG17" i="23"/>
  <c r="AL16" i="23"/>
  <c r="AJ16" i="23"/>
  <c r="X16" i="23"/>
  <c r="AO16" i="23"/>
  <c r="AN16" i="23"/>
  <c r="AM16" i="23"/>
  <c r="T16" i="23"/>
  <c r="S16" i="23"/>
  <c r="Z16" i="23" s="1"/>
  <c r="AI16" i="23"/>
  <c r="AH16" i="23"/>
  <c r="AG16" i="23"/>
  <c r="AN15" i="23"/>
  <c r="X15" i="23"/>
  <c r="AO15" i="23"/>
  <c r="U15" i="23"/>
  <c r="AM15" i="23" s="1"/>
  <c r="T15" i="23"/>
  <c r="AL15" i="23" s="1"/>
  <c r="S15" i="23"/>
  <c r="AJ15" i="23"/>
  <c r="AI15" i="23"/>
  <c r="AH15" i="23"/>
  <c r="AN14" i="23"/>
  <c r="X14" i="23"/>
  <c r="AY14" i="23"/>
  <c r="AO69" i="23" s="1"/>
  <c r="AX14" i="23"/>
  <c r="AM14" i="23"/>
  <c r="T14" i="23"/>
  <c r="AV14" i="23" s="1"/>
  <c r="AL69" i="23" s="1"/>
  <c r="S14" i="23"/>
  <c r="AB14" i="23"/>
  <c r="AI14" i="23"/>
  <c r="X13" i="23"/>
  <c r="AO13" i="23"/>
  <c r="AN13" i="23"/>
  <c r="AM13" i="23"/>
  <c r="T13" i="23"/>
  <c r="AL13" i="23" s="1"/>
  <c r="AK13" i="23"/>
  <c r="AJ13" i="23"/>
  <c r="AI13" i="23"/>
  <c r="AH13" i="23"/>
  <c r="AG13" i="23"/>
  <c r="AJ12" i="23"/>
  <c r="AG12" i="23"/>
  <c r="X12" i="23"/>
  <c r="AO12" i="23"/>
  <c r="AN12" i="23"/>
  <c r="AM12" i="23"/>
  <c r="T12" i="23"/>
  <c r="AL12" i="23" s="1"/>
  <c r="AK12" i="23"/>
  <c r="AI12" i="23"/>
  <c r="AH12" i="23"/>
  <c r="AO11" i="23"/>
  <c r="AL11" i="23"/>
  <c r="AI11" i="23"/>
  <c r="AG11" i="23"/>
  <c r="AA11" i="23"/>
  <c r="X11" i="23"/>
  <c r="AN11" i="23"/>
  <c r="AM11" i="23"/>
  <c r="AK11" i="23"/>
  <c r="AJ11" i="23"/>
  <c r="AH11" i="23"/>
  <c r="AB11" i="23"/>
  <c r="AO10" i="23"/>
  <c r="AL10" i="23"/>
  <c r="AJ10" i="23"/>
  <c r="X10" i="23"/>
  <c r="AN10" i="23"/>
  <c r="U10" i="23"/>
  <c r="T10" i="23"/>
  <c r="AB10" i="23"/>
  <c r="AT10" i="23"/>
  <c r="AS10" i="23"/>
  <c r="AR10" i="23"/>
  <c r="B10" i="23"/>
  <c r="A11" i="23" s="1"/>
  <c r="B11" i="23" s="1"/>
  <c r="A12" i="23" s="1"/>
  <c r="B12" i="23" s="1"/>
  <c r="A13" i="23" s="1"/>
  <c r="B13" i="23" s="1"/>
  <c r="A14" i="23" s="1"/>
  <c r="B14" i="23" s="1"/>
  <c r="A15" i="23" s="1"/>
  <c r="B15" i="23" s="1"/>
  <c r="A16" i="23" s="1"/>
  <c r="B16" i="23" s="1"/>
  <c r="A17" i="23" s="1"/>
  <c r="B17" i="23" s="1"/>
  <c r="A18" i="23" s="1"/>
  <c r="B18" i="23" s="1"/>
  <c r="A19" i="23" s="1"/>
  <c r="B19" i="23" s="1"/>
  <c r="A20" i="23" s="1"/>
  <c r="B20" i="23" s="1"/>
  <c r="A21" i="23" s="1"/>
  <c r="B21" i="23" s="1"/>
  <c r="A22" i="23" s="1"/>
  <c r="B22" i="23" s="1"/>
  <c r="A23" i="23" s="1"/>
  <c r="B23" i="23" s="1"/>
  <c r="A24" i="23" s="1"/>
  <c r="B24" i="23" s="1"/>
  <c r="A25" i="23" s="1"/>
  <c r="B25" i="23" s="1"/>
  <c r="A26" i="23" s="1"/>
  <c r="B26" i="23" s="1"/>
  <c r="A27" i="23" s="1"/>
  <c r="B27" i="23" s="1"/>
  <c r="A28" i="23" s="1"/>
  <c r="B28" i="23" s="1"/>
  <c r="A29" i="23" s="1"/>
  <c r="B29" i="23" s="1"/>
  <c r="A30" i="23" s="1"/>
  <c r="B30" i="23" s="1"/>
  <c r="A31" i="23" s="1"/>
  <c r="B31" i="23" s="1"/>
  <c r="A32" i="23" s="1"/>
  <c r="B32" i="23" s="1"/>
  <c r="A33" i="23" s="1"/>
  <c r="B33" i="23" s="1"/>
  <c r="A34" i="23" s="1"/>
  <c r="B34" i="23" s="1"/>
  <c r="A35" i="23" s="1"/>
  <c r="B35" i="23" s="1"/>
  <c r="A36" i="23" s="1"/>
  <c r="B36" i="23" s="1"/>
  <c r="A37" i="23" s="1"/>
  <c r="B37" i="23" s="1"/>
  <c r="A38" i="23" s="1"/>
  <c r="B38" i="23" s="1"/>
  <c r="A39" i="23" s="1"/>
  <c r="B39" i="23" s="1"/>
  <c r="A40" i="23" s="1"/>
  <c r="B40" i="23" s="1"/>
  <c r="A41" i="23" s="1"/>
  <c r="B41" i="23" s="1"/>
  <c r="A42" i="23" s="1"/>
  <c r="B42" i="23" s="1"/>
  <c r="A43" i="23" s="1"/>
  <c r="B43" i="23" s="1"/>
  <c r="A44" i="23" s="1"/>
  <c r="B44" i="23" s="1"/>
  <c r="A45" i="23" s="1"/>
  <c r="B45" i="23" s="1"/>
  <c r="A46" i="23" s="1"/>
  <c r="B46" i="23" s="1"/>
  <c r="A47" i="23" s="1"/>
  <c r="B47" i="23" s="1"/>
  <c r="A48" i="23" s="1"/>
  <c r="B48" i="23" s="1"/>
  <c r="A49" i="23" s="1"/>
  <c r="B49" i="23" s="1"/>
  <c r="A50" i="23" s="1"/>
  <c r="B50" i="23" s="1"/>
  <c r="A51" i="23" s="1"/>
  <c r="B51" i="23" s="1"/>
  <c r="A52" i="23" s="1"/>
  <c r="B52" i="23" s="1"/>
  <c r="A53" i="23" s="1"/>
  <c r="B53" i="23" s="1"/>
  <c r="A54" i="23" s="1"/>
  <c r="B54" i="23" s="1"/>
  <c r="A55" i="23" s="1"/>
  <c r="B55" i="23" s="1"/>
  <c r="A56" i="23" s="1"/>
  <c r="B56" i="23" s="1"/>
  <c r="A57" i="23" s="1"/>
  <c r="B57" i="23" s="1"/>
  <c r="A58" i="23" s="1"/>
  <c r="B58" i="23" s="1"/>
  <c r="A59" i="23" s="1"/>
  <c r="B59" i="23" s="1"/>
  <c r="A60" i="23" s="1"/>
  <c r="B60" i="23" s="1"/>
  <c r="A61" i="23" s="1"/>
  <c r="B61" i="23" s="1"/>
  <c r="A62" i="23" s="1"/>
  <c r="B62" i="23" s="1"/>
  <c r="A63" i="23" s="1"/>
  <c r="B63" i="23" s="1"/>
  <c r="A64" i="23" s="1"/>
  <c r="B64" i="23" s="1"/>
  <c r="A65" i="23" s="1"/>
  <c r="B65" i="23" s="1"/>
  <c r="X7" i="23"/>
  <c r="W7" i="23"/>
  <c r="V7" i="23"/>
  <c r="U7" i="23"/>
  <c r="T7" i="23"/>
  <c r="S7" i="23"/>
  <c r="R7" i="23"/>
  <c r="Q7" i="23"/>
  <c r="P7" i="23"/>
  <c r="O7" i="23"/>
  <c r="AO82" i="22"/>
  <c r="AN82" i="22"/>
  <c r="AM82" i="22"/>
  <c r="AL82" i="22"/>
  <c r="AJ82" i="22"/>
  <c r="AI82" i="22"/>
  <c r="Y82" i="22"/>
  <c r="AK65" i="22"/>
  <c r="Z65" i="22"/>
  <c r="X65" i="22"/>
  <c r="W65" i="22"/>
  <c r="AO65" i="22" s="1"/>
  <c r="V65" i="22"/>
  <c r="AN65" i="22" s="1"/>
  <c r="U65" i="22"/>
  <c r="AM65" i="22" s="1"/>
  <c r="T65" i="22"/>
  <c r="AL65" i="22" s="1"/>
  <c r="S65" i="22"/>
  <c r="R65" i="22"/>
  <c r="AJ65" i="22" s="1"/>
  <c r="Q65" i="22"/>
  <c r="AI65" i="22" s="1"/>
  <c r="P65" i="22"/>
  <c r="AH65" i="22" s="1"/>
  <c r="O65" i="22"/>
  <c r="AG65" i="22" s="1"/>
  <c r="AM64" i="22"/>
  <c r="AL64" i="22"/>
  <c r="X64" i="22"/>
  <c r="W64" i="22"/>
  <c r="AO64" i="22" s="1"/>
  <c r="V64" i="22"/>
  <c r="AN64" i="22" s="1"/>
  <c r="U64" i="22"/>
  <c r="T64" i="22"/>
  <c r="S64" i="22"/>
  <c r="R64" i="22"/>
  <c r="AJ64" i="22" s="1"/>
  <c r="Q64" i="22"/>
  <c r="AI64" i="22" s="1"/>
  <c r="P64" i="22"/>
  <c r="AH64" i="22" s="1"/>
  <c r="O64" i="22"/>
  <c r="AG64" i="22" s="1"/>
  <c r="AO63" i="22"/>
  <c r="X63" i="22"/>
  <c r="W63" i="22"/>
  <c r="V63" i="22"/>
  <c r="AA63" i="22" s="1"/>
  <c r="U63" i="22"/>
  <c r="AM63" i="22" s="1"/>
  <c r="T63" i="22"/>
  <c r="AL63" i="22" s="1"/>
  <c r="S63" i="22"/>
  <c r="AK63" i="22" s="1"/>
  <c r="R63" i="22"/>
  <c r="AJ63" i="22" s="1"/>
  <c r="Q63" i="22"/>
  <c r="AI63" i="22" s="1"/>
  <c r="P63" i="22"/>
  <c r="AH63" i="22" s="1"/>
  <c r="O63" i="22"/>
  <c r="X62" i="22"/>
  <c r="W62" i="22"/>
  <c r="V62" i="22"/>
  <c r="AN62" i="22" s="1"/>
  <c r="U62" i="22"/>
  <c r="AW62" i="22" s="1"/>
  <c r="AM81" i="22" s="1"/>
  <c r="T62" i="22"/>
  <c r="S62" i="22"/>
  <c r="R62" i="22"/>
  <c r="Q62" i="22"/>
  <c r="P62" i="22"/>
  <c r="O62" i="22"/>
  <c r="X61" i="22"/>
  <c r="W61" i="22"/>
  <c r="AO61" i="22" s="1"/>
  <c r="V61" i="22"/>
  <c r="AN61" i="22" s="1"/>
  <c r="U61" i="22"/>
  <c r="AM61" i="22" s="1"/>
  <c r="T61" i="22"/>
  <c r="AL61" i="22" s="1"/>
  <c r="S61" i="22"/>
  <c r="R61" i="22"/>
  <c r="AJ61" i="22" s="1"/>
  <c r="Q61" i="22"/>
  <c r="AI61" i="22" s="1"/>
  <c r="P61" i="22"/>
  <c r="AH61" i="22" s="1"/>
  <c r="O61" i="22"/>
  <c r="AG61" i="22" s="1"/>
  <c r="X60" i="22"/>
  <c r="W60" i="22"/>
  <c r="AO60" i="22" s="1"/>
  <c r="V60" i="22"/>
  <c r="U60" i="22"/>
  <c r="AM60" i="22" s="1"/>
  <c r="T60" i="22"/>
  <c r="AL60" i="22" s="1"/>
  <c r="S60" i="22"/>
  <c r="AK60" i="22" s="1"/>
  <c r="R60" i="22"/>
  <c r="AJ60" i="22" s="1"/>
  <c r="Q60" i="22"/>
  <c r="AI60" i="22" s="1"/>
  <c r="P60" i="22"/>
  <c r="AH60" i="22" s="1"/>
  <c r="O60" i="22"/>
  <c r="AG59" i="22"/>
  <c r="X59" i="22"/>
  <c r="W59" i="22"/>
  <c r="AO59" i="22" s="1"/>
  <c r="V59" i="22"/>
  <c r="U59" i="22"/>
  <c r="AM59" i="22" s="1"/>
  <c r="T59" i="22"/>
  <c r="AL59" i="22" s="1"/>
  <c r="S59" i="22"/>
  <c r="AK59" i="22" s="1"/>
  <c r="R59" i="22"/>
  <c r="AJ59" i="22" s="1"/>
  <c r="Q59" i="22"/>
  <c r="AI59" i="22" s="1"/>
  <c r="P59" i="22"/>
  <c r="AH59" i="22" s="1"/>
  <c r="O59" i="22"/>
  <c r="AK58" i="22"/>
  <c r="AJ58" i="22"/>
  <c r="Z58" i="22"/>
  <c r="X58" i="22"/>
  <c r="W58" i="22"/>
  <c r="AO58" i="22" s="1"/>
  <c r="V58" i="22"/>
  <c r="U58" i="22"/>
  <c r="T58" i="22"/>
  <c r="S58" i="22"/>
  <c r="R58" i="22"/>
  <c r="Q58" i="22"/>
  <c r="AI58" i="22" s="1"/>
  <c r="P58" i="22"/>
  <c r="O58" i="22"/>
  <c r="AG58" i="22" s="1"/>
  <c r="AL57" i="22"/>
  <c r="X57" i="22"/>
  <c r="W57" i="22"/>
  <c r="AO57" i="22" s="1"/>
  <c r="V57" i="22"/>
  <c r="AN57" i="22" s="1"/>
  <c r="U57" i="22"/>
  <c r="AM57" i="22" s="1"/>
  <c r="T57" i="22"/>
  <c r="S57" i="22"/>
  <c r="R57" i="22"/>
  <c r="AJ57" i="22" s="1"/>
  <c r="Q57" i="22"/>
  <c r="AI57" i="22" s="1"/>
  <c r="P57" i="22"/>
  <c r="AH57" i="22" s="1"/>
  <c r="O57" i="22"/>
  <c r="AG57" i="22" s="1"/>
  <c r="AO56" i="22"/>
  <c r="AN56" i="22"/>
  <c r="AG56" i="22"/>
  <c r="X56" i="22"/>
  <c r="W56" i="22"/>
  <c r="V56" i="22"/>
  <c r="AA56" i="22" s="1"/>
  <c r="U56" i="22"/>
  <c r="AM56" i="22" s="1"/>
  <c r="T56" i="22"/>
  <c r="AL56" i="22" s="1"/>
  <c r="S56" i="22"/>
  <c r="AK56" i="22" s="1"/>
  <c r="R56" i="22"/>
  <c r="AJ56" i="22" s="1"/>
  <c r="Q56" i="22"/>
  <c r="AI56" i="22" s="1"/>
  <c r="P56" i="22"/>
  <c r="AH56" i="22" s="1"/>
  <c r="O56" i="22"/>
  <c r="AI55" i="22"/>
  <c r="AH55" i="22"/>
  <c r="X55" i="22"/>
  <c r="W55" i="22"/>
  <c r="AO55" i="22" s="1"/>
  <c r="V55" i="22"/>
  <c r="U55" i="22"/>
  <c r="AM55" i="22" s="1"/>
  <c r="T55" i="22"/>
  <c r="AL55" i="22" s="1"/>
  <c r="S55" i="22"/>
  <c r="AK55" i="22" s="1"/>
  <c r="R55" i="22"/>
  <c r="AJ55" i="22" s="1"/>
  <c r="Q55" i="22"/>
  <c r="P55" i="22"/>
  <c r="O55" i="22"/>
  <c r="AT54" i="22"/>
  <c r="AJ79" i="22" s="1"/>
  <c r="AL54" i="22"/>
  <c r="AK54" i="22"/>
  <c r="X54" i="22"/>
  <c r="W54" i="22"/>
  <c r="V54" i="22"/>
  <c r="U54" i="22"/>
  <c r="T54" i="22"/>
  <c r="S54" i="22"/>
  <c r="R54" i="22"/>
  <c r="AJ54" i="22" s="1"/>
  <c r="Q54" i="22"/>
  <c r="P54" i="22"/>
  <c r="AH54" i="22" s="1"/>
  <c r="O54" i="22"/>
  <c r="X53" i="22"/>
  <c r="W53" i="22"/>
  <c r="AO53" i="22" s="1"/>
  <c r="V53" i="22"/>
  <c r="U53" i="22"/>
  <c r="AM53" i="22" s="1"/>
  <c r="T53" i="22"/>
  <c r="AL53" i="22" s="1"/>
  <c r="S53" i="22"/>
  <c r="AK53" i="22" s="1"/>
  <c r="R53" i="22"/>
  <c r="AJ53" i="22" s="1"/>
  <c r="Q53" i="22"/>
  <c r="AI53" i="22" s="1"/>
  <c r="P53" i="22"/>
  <c r="AH53" i="22" s="1"/>
  <c r="O53" i="22"/>
  <c r="X52" i="22"/>
  <c r="W52" i="22"/>
  <c r="AO52" i="22" s="1"/>
  <c r="V52" i="22"/>
  <c r="U52" i="22"/>
  <c r="AM52" i="22" s="1"/>
  <c r="T52" i="22"/>
  <c r="AL52" i="22" s="1"/>
  <c r="S52" i="22"/>
  <c r="AK52" i="22" s="1"/>
  <c r="R52" i="22"/>
  <c r="AJ52" i="22" s="1"/>
  <c r="Q52" i="22"/>
  <c r="AI52" i="22" s="1"/>
  <c r="P52" i="22"/>
  <c r="AH52" i="22" s="1"/>
  <c r="O52" i="22"/>
  <c r="AG52" i="22" s="1"/>
  <c r="X51" i="22"/>
  <c r="W51" i="22"/>
  <c r="AO51" i="22" s="1"/>
  <c r="V51" i="22"/>
  <c r="AN51" i="22" s="1"/>
  <c r="U51" i="22"/>
  <c r="AM51" i="22" s="1"/>
  <c r="T51" i="22"/>
  <c r="AL51" i="22" s="1"/>
  <c r="S51" i="22"/>
  <c r="AK51" i="22" s="1"/>
  <c r="R51" i="22"/>
  <c r="AJ51" i="22" s="1"/>
  <c r="Q51" i="22"/>
  <c r="P51" i="22"/>
  <c r="AH51" i="22" s="1"/>
  <c r="O51" i="22"/>
  <c r="X50" i="22"/>
  <c r="W50" i="22"/>
  <c r="V50" i="22"/>
  <c r="U50" i="22"/>
  <c r="T50" i="22"/>
  <c r="S50" i="22"/>
  <c r="AU50" i="22" s="1"/>
  <c r="R50" i="22"/>
  <c r="AT50" i="22" s="1"/>
  <c r="AJ78" i="22" s="1"/>
  <c r="Q50" i="22"/>
  <c r="AI50" i="22" s="1"/>
  <c r="P50" i="22"/>
  <c r="O50" i="22"/>
  <c r="X49" i="22"/>
  <c r="W49" i="22"/>
  <c r="AO49" i="22" s="1"/>
  <c r="V49" i="22"/>
  <c r="AN49" i="22" s="1"/>
  <c r="U49" i="22"/>
  <c r="AM49" i="22" s="1"/>
  <c r="T49" i="22"/>
  <c r="AL49" i="22" s="1"/>
  <c r="S49" i="22"/>
  <c r="AK49" i="22" s="1"/>
  <c r="R49" i="22"/>
  <c r="AJ49" i="22" s="1"/>
  <c r="Q49" i="22"/>
  <c r="AI49" i="22" s="1"/>
  <c r="P49" i="22"/>
  <c r="AH49" i="22" s="1"/>
  <c r="O49" i="22"/>
  <c r="AG49" i="22" s="1"/>
  <c r="AG48" i="22"/>
  <c r="X48" i="22"/>
  <c r="W48" i="22"/>
  <c r="AO48" i="22" s="1"/>
  <c r="V48" i="22"/>
  <c r="AN48" i="22" s="1"/>
  <c r="U48" i="22"/>
  <c r="AM48" i="22" s="1"/>
  <c r="T48" i="22"/>
  <c r="AL48" i="22" s="1"/>
  <c r="S48" i="22"/>
  <c r="R48" i="22"/>
  <c r="AJ48" i="22" s="1"/>
  <c r="Q48" i="22"/>
  <c r="Y48" i="22" s="1"/>
  <c r="P48" i="22"/>
  <c r="AH48" i="22" s="1"/>
  <c r="O48" i="22"/>
  <c r="AA47" i="22"/>
  <c r="X47" i="22"/>
  <c r="W47" i="22"/>
  <c r="AO47" i="22" s="1"/>
  <c r="V47" i="22"/>
  <c r="AN47" i="22" s="1"/>
  <c r="U47" i="22"/>
  <c r="AM47" i="22" s="1"/>
  <c r="T47" i="22"/>
  <c r="Z47" i="22" s="1"/>
  <c r="S47" i="22"/>
  <c r="AK47" i="22" s="1"/>
  <c r="R47" i="22"/>
  <c r="AJ47" i="22" s="1"/>
  <c r="Q47" i="22"/>
  <c r="AI47" i="22" s="1"/>
  <c r="P47" i="22"/>
  <c r="AH47" i="22" s="1"/>
  <c r="O47" i="22"/>
  <c r="AO46" i="22"/>
  <c r="AH46" i="22"/>
  <c r="X46" i="22"/>
  <c r="W46" i="22"/>
  <c r="AY46" i="22" s="1"/>
  <c r="AO77" i="22" s="1"/>
  <c r="V46" i="22"/>
  <c r="AA46" i="22" s="1"/>
  <c r="U46" i="22"/>
  <c r="AM46" i="22" s="1"/>
  <c r="T46" i="22"/>
  <c r="AL46" i="22" s="1"/>
  <c r="S46" i="22"/>
  <c r="R46" i="22"/>
  <c r="Q46" i="22"/>
  <c r="P46" i="22"/>
  <c r="AR46" i="22" s="1"/>
  <c r="AH77" i="22" s="1"/>
  <c r="O46" i="22"/>
  <c r="AG46" i="22" s="1"/>
  <c r="AJ45" i="22"/>
  <c r="X45" i="22"/>
  <c r="W45" i="22"/>
  <c r="V45" i="22"/>
  <c r="AN45" i="22" s="1"/>
  <c r="U45" i="22"/>
  <c r="AM45" i="22" s="1"/>
  <c r="T45" i="22"/>
  <c r="AL45" i="22" s="1"/>
  <c r="S45" i="22"/>
  <c r="AK45" i="22" s="1"/>
  <c r="R45" i="22"/>
  <c r="Q45" i="22"/>
  <c r="P45" i="22"/>
  <c r="AH45" i="22" s="1"/>
  <c r="O45" i="22"/>
  <c r="AK44" i="22"/>
  <c r="AH44" i="22"/>
  <c r="AA44" i="22"/>
  <c r="X44" i="22"/>
  <c r="W44" i="22"/>
  <c r="AO44" i="22" s="1"/>
  <c r="V44" i="22"/>
  <c r="AN44" i="22" s="1"/>
  <c r="U44" i="22"/>
  <c r="AM44" i="22" s="1"/>
  <c r="T44" i="22"/>
  <c r="AL44" i="22" s="1"/>
  <c r="S44" i="22"/>
  <c r="R44" i="22"/>
  <c r="AJ44" i="22" s="1"/>
  <c r="Q44" i="22"/>
  <c r="AI44" i="22" s="1"/>
  <c r="P44" i="22"/>
  <c r="Z44" i="22" s="1"/>
  <c r="O44" i="22"/>
  <c r="AG44" i="22" s="1"/>
  <c r="AN43" i="22"/>
  <c r="AM43" i="22"/>
  <c r="AA43" i="22"/>
  <c r="X43" i="22"/>
  <c r="W43" i="22"/>
  <c r="AO43" i="22" s="1"/>
  <c r="V43" i="22"/>
  <c r="U43" i="22"/>
  <c r="T43" i="22"/>
  <c r="AL43" i="22" s="1"/>
  <c r="S43" i="22"/>
  <c r="R43" i="22"/>
  <c r="AJ43" i="22" s="1"/>
  <c r="Q43" i="22"/>
  <c r="P43" i="22"/>
  <c r="AH43" i="22" s="1"/>
  <c r="O43" i="22"/>
  <c r="AG43" i="22" s="1"/>
  <c r="X42" i="22"/>
  <c r="W42" i="22"/>
  <c r="AO42" i="22" s="1"/>
  <c r="V42" i="22"/>
  <c r="U42" i="22"/>
  <c r="T42" i="22"/>
  <c r="S42" i="22"/>
  <c r="R42" i="22"/>
  <c r="Q42" i="22"/>
  <c r="AI42" i="22" s="1"/>
  <c r="P42" i="22"/>
  <c r="O42" i="22"/>
  <c r="AG42" i="22" s="1"/>
  <c r="X41" i="22"/>
  <c r="W41" i="22"/>
  <c r="AO41" i="22" s="1"/>
  <c r="V41" i="22"/>
  <c r="AN41" i="22" s="1"/>
  <c r="U41" i="22"/>
  <c r="AM41" i="22" s="1"/>
  <c r="T41" i="22"/>
  <c r="AL41" i="22" s="1"/>
  <c r="S41" i="22"/>
  <c r="AK41" i="22" s="1"/>
  <c r="R41" i="22"/>
  <c r="AJ41" i="22" s="1"/>
  <c r="Q41" i="22"/>
  <c r="P41" i="22"/>
  <c r="O41" i="22"/>
  <c r="AG41" i="22" s="1"/>
  <c r="X40" i="22"/>
  <c r="W40" i="22"/>
  <c r="AO40" i="22" s="1"/>
  <c r="V40" i="22"/>
  <c r="U40" i="22"/>
  <c r="AM40" i="22" s="1"/>
  <c r="T40" i="22"/>
  <c r="AL40" i="22" s="1"/>
  <c r="S40" i="22"/>
  <c r="AK40" i="22" s="1"/>
  <c r="R40" i="22"/>
  <c r="AJ40" i="22" s="1"/>
  <c r="Q40" i="22"/>
  <c r="AI40" i="22" s="1"/>
  <c r="P40" i="22"/>
  <c r="AH40" i="22" s="1"/>
  <c r="O40" i="22"/>
  <c r="AG39" i="22"/>
  <c r="X39" i="22"/>
  <c r="W39" i="22"/>
  <c r="AO39" i="22" s="1"/>
  <c r="V39" i="22"/>
  <c r="U39" i="22"/>
  <c r="AM39" i="22" s="1"/>
  <c r="T39" i="22"/>
  <c r="S39" i="22"/>
  <c r="AK39" i="22" s="1"/>
  <c r="R39" i="22"/>
  <c r="AJ39" i="22" s="1"/>
  <c r="Q39" i="22"/>
  <c r="P39" i="22"/>
  <c r="AH39" i="22" s="1"/>
  <c r="O39" i="22"/>
  <c r="AS38" i="22"/>
  <c r="AI75" i="22" s="1"/>
  <c r="AN38" i="22"/>
  <c r="X38" i="22"/>
  <c r="W38" i="22"/>
  <c r="V38" i="22"/>
  <c r="U38" i="22"/>
  <c r="T38" i="22"/>
  <c r="S38" i="22"/>
  <c r="R38" i="22"/>
  <c r="AJ38" i="22" s="1"/>
  <c r="Q38" i="22"/>
  <c r="AI38" i="22" s="1"/>
  <c r="P38" i="22"/>
  <c r="O38" i="22"/>
  <c r="AH37" i="22"/>
  <c r="X37" i="22"/>
  <c r="W37" i="22"/>
  <c r="AO37" i="22" s="1"/>
  <c r="AM37" i="22"/>
  <c r="T37" i="22"/>
  <c r="AL37" i="22" s="1"/>
  <c r="S37" i="22"/>
  <c r="Z37" i="22" s="1"/>
  <c r="R37" i="22"/>
  <c r="AJ37" i="22" s="1"/>
  <c r="AI37" i="22"/>
  <c r="AG37" i="22"/>
  <c r="AB36" i="22"/>
  <c r="X36" i="22"/>
  <c r="W36" i="22"/>
  <c r="AO36" i="22" s="1"/>
  <c r="V36" i="22"/>
  <c r="U36" i="22"/>
  <c r="AM36" i="22" s="1"/>
  <c r="T36" i="22"/>
  <c r="AL36" i="22" s="1"/>
  <c r="S36" i="22"/>
  <c r="R36" i="22"/>
  <c r="AJ36" i="22" s="1"/>
  <c r="AH36" i="22"/>
  <c r="AG36" i="22"/>
  <c r="AL35" i="22"/>
  <c r="AG35" i="22"/>
  <c r="X35" i="22"/>
  <c r="W35" i="22"/>
  <c r="AO35" i="22" s="1"/>
  <c r="V35" i="22"/>
  <c r="AN35" i="22" s="1"/>
  <c r="U35" i="22"/>
  <c r="AM35" i="22" s="1"/>
  <c r="T35" i="22"/>
  <c r="S35" i="22"/>
  <c r="AK35" i="22" s="1"/>
  <c r="R35" i="22"/>
  <c r="AJ35" i="22" s="1"/>
  <c r="AI35" i="22"/>
  <c r="AH35" i="22"/>
  <c r="AO34" i="22"/>
  <c r="AK34" i="22"/>
  <c r="X34" i="22"/>
  <c r="W34" i="22"/>
  <c r="V34" i="22"/>
  <c r="U34" i="22"/>
  <c r="T34" i="22"/>
  <c r="S34" i="22"/>
  <c r="R34" i="22"/>
  <c r="AT34" i="22" s="1"/>
  <c r="AJ74" i="22" s="1"/>
  <c r="Z34" i="22"/>
  <c r="AL33" i="22"/>
  <c r="AA33" i="22"/>
  <c r="X33" i="22"/>
  <c r="W33" i="22"/>
  <c r="AO33" i="22" s="1"/>
  <c r="V33" i="22"/>
  <c r="AN33" i="22" s="1"/>
  <c r="AM33" i="22"/>
  <c r="T33" i="22"/>
  <c r="S33" i="22"/>
  <c r="R33" i="22"/>
  <c r="AJ33" i="22" s="1"/>
  <c r="AI33" i="22"/>
  <c r="AH33" i="22"/>
  <c r="X32" i="22"/>
  <c r="W32" i="22"/>
  <c r="AO32" i="22" s="1"/>
  <c r="V32" i="22"/>
  <c r="AM32" i="22"/>
  <c r="T32" i="22"/>
  <c r="S32" i="22"/>
  <c r="AK32" i="22" s="1"/>
  <c r="AJ32" i="22"/>
  <c r="AH32" i="22"/>
  <c r="AG32" i="22"/>
  <c r="AH31" i="22"/>
  <c r="X31" i="22"/>
  <c r="W31" i="22"/>
  <c r="AO31" i="22" s="1"/>
  <c r="V31" i="22"/>
  <c r="AM31" i="22"/>
  <c r="T31" i="22"/>
  <c r="AL31" i="22" s="1"/>
  <c r="S31" i="22"/>
  <c r="AK31" i="22" s="1"/>
  <c r="AJ31" i="22"/>
  <c r="AI31" i="22"/>
  <c r="AG31" i="22"/>
  <c r="AU30" i="22"/>
  <c r="AL30" i="22"/>
  <c r="AK30" i="22"/>
  <c r="X30" i="22"/>
  <c r="V30" i="22"/>
  <c r="U30" i="22"/>
  <c r="T30" i="22"/>
  <c r="S30" i="22"/>
  <c r="R30" i="22"/>
  <c r="AI30" i="22"/>
  <c r="AQ30" i="22"/>
  <c r="X29" i="22"/>
  <c r="AO29" i="22"/>
  <c r="V29" i="22"/>
  <c r="U29" i="22"/>
  <c r="AM29" i="22" s="1"/>
  <c r="T29" i="22"/>
  <c r="AL29" i="22" s="1"/>
  <c r="S29" i="22"/>
  <c r="AU26" i="22" s="1"/>
  <c r="R29" i="22"/>
  <c r="AJ29" i="22" s="1"/>
  <c r="Y29" i="22"/>
  <c r="AH29" i="22"/>
  <c r="AG29" i="22"/>
  <c r="AG28" i="22"/>
  <c r="X28" i="22"/>
  <c r="W28" i="22"/>
  <c r="AO28" i="22" s="1"/>
  <c r="AN28" i="22"/>
  <c r="U28" i="22"/>
  <c r="AM28" i="22" s="1"/>
  <c r="T28" i="22"/>
  <c r="AL28" i="22" s="1"/>
  <c r="S28" i="22"/>
  <c r="AK28" i="22" s="1"/>
  <c r="R28" i="22"/>
  <c r="AJ28" i="22" s="1"/>
  <c r="AI28" i="22"/>
  <c r="AH28" i="22"/>
  <c r="AJ27" i="22"/>
  <c r="X27" i="22"/>
  <c r="W27" i="22"/>
  <c r="AN27" i="22"/>
  <c r="U27" i="22"/>
  <c r="AM27" i="22" s="1"/>
  <c r="T27" i="22"/>
  <c r="AL27" i="22" s="1"/>
  <c r="S27" i="22"/>
  <c r="AK27" i="22" s="1"/>
  <c r="R27" i="22"/>
  <c r="AI27" i="22"/>
  <c r="AH27" i="22"/>
  <c r="AM26" i="22"/>
  <c r="AL26" i="22"/>
  <c r="X26" i="22"/>
  <c r="W26" i="22"/>
  <c r="U26" i="22"/>
  <c r="T26" i="22"/>
  <c r="S26" i="22"/>
  <c r="R26" i="22"/>
  <c r="AJ26" i="22" s="1"/>
  <c r="AI26" i="22"/>
  <c r="AR26" i="22"/>
  <c r="AH72" i="22" s="1"/>
  <c r="AO25" i="22"/>
  <c r="AG25" i="22"/>
  <c r="X25" i="22"/>
  <c r="W25" i="22"/>
  <c r="AA25" i="22"/>
  <c r="AM25" i="22"/>
  <c r="T25" i="22"/>
  <c r="S25" i="22"/>
  <c r="AK25" i="22" s="1"/>
  <c r="R25" i="22"/>
  <c r="AJ25" i="22" s="1"/>
  <c r="Y25" i="22"/>
  <c r="AH25" i="22"/>
  <c r="AM24" i="22"/>
  <c r="X24" i="22"/>
  <c r="W24" i="22"/>
  <c r="AO24" i="22" s="1"/>
  <c r="T24" i="22"/>
  <c r="AL24" i="22" s="1"/>
  <c r="S24" i="22"/>
  <c r="AK24" i="22" s="1"/>
  <c r="R24" i="22"/>
  <c r="AJ24" i="22" s="1"/>
  <c r="AI24" i="22"/>
  <c r="AH24" i="22"/>
  <c r="Z23" i="22"/>
  <c r="X23" i="22"/>
  <c r="W23" i="22"/>
  <c r="AO23" i="22" s="1"/>
  <c r="V23" i="22"/>
  <c r="AN23" i="22" s="1"/>
  <c r="AM23" i="22"/>
  <c r="T23" i="22"/>
  <c r="AL23" i="22" s="1"/>
  <c r="S23" i="22"/>
  <c r="AK23" i="22" s="1"/>
  <c r="AJ23" i="22"/>
  <c r="AI23" i="22"/>
  <c r="AG23" i="22"/>
  <c r="AN22" i="22"/>
  <c r="AJ22" i="22"/>
  <c r="X22" i="22"/>
  <c r="W22" i="22"/>
  <c r="AA22" i="22" s="1"/>
  <c r="V22" i="22"/>
  <c r="AM22" i="22"/>
  <c r="T22" i="22"/>
  <c r="AL22" i="22" s="1"/>
  <c r="S22" i="22"/>
  <c r="AL21" i="22"/>
  <c r="X21" i="22"/>
  <c r="AO21" i="22"/>
  <c r="V21" i="22"/>
  <c r="AM21" i="22"/>
  <c r="T21" i="22"/>
  <c r="S21" i="22"/>
  <c r="AJ21" i="22"/>
  <c r="AI21" i="22"/>
  <c r="AH21" i="22"/>
  <c r="AG21" i="22"/>
  <c r="AN20" i="22"/>
  <c r="AJ20" i="22"/>
  <c r="AH20" i="22"/>
  <c r="X20" i="22"/>
  <c r="W20" i="22"/>
  <c r="AM20" i="22"/>
  <c r="T20" i="22"/>
  <c r="AL20" i="22" s="1"/>
  <c r="S20" i="22"/>
  <c r="AK20" i="22" s="1"/>
  <c r="AL19" i="22"/>
  <c r="AJ19" i="22"/>
  <c r="X19" i="22"/>
  <c r="W19" i="22"/>
  <c r="AO19" i="22" s="1"/>
  <c r="AN19" i="22"/>
  <c r="AM19" i="22"/>
  <c r="T19" i="22"/>
  <c r="S19" i="22"/>
  <c r="AI19" i="22"/>
  <c r="AH19" i="22"/>
  <c r="AI18" i="22"/>
  <c r="X18" i="22"/>
  <c r="W18" i="22"/>
  <c r="AO18" i="22" s="1"/>
  <c r="T18" i="22"/>
  <c r="AL18" i="22" s="1"/>
  <c r="S18" i="22"/>
  <c r="AG18" i="22"/>
  <c r="AG17" i="22"/>
  <c r="X17" i="22"/>
  <c r="W17" i="22"/>
  <c r="AO17" i="22" s="1"/>
  <c r="V17" i="22"/>
  <c r="AM17" i="22"/>
  <c r="T17" i="22"/>
  <c r="AL17" i="22" s="1"/>
  <c r="S17" i="22"/>
  <c r="AJ17" i="22"/>
  <c r="Y17" i="22"/>
  <c r="AH17" i="22"/>
  <c r="AH16" i="22"/>
  <c r="X16" i="22"/>
  <c r="W16" i="22"/>
  <c r="AO16" i="22" s="1"/>
  <c r="AA16" i="22"/>
  <c r="U16" i="22"/>
  <c r="AM16" i="22" s="1"/>
  <c r="T16" i="22"/>
  <c r="AL16" i="22" s="1"/>
  <c r="S16" i="22"/>
  <c r="AK16" i="22" s="1"/>
  <c r="R16" i="22"/>
  <c r="AJ16" i="22" s="1"/>
  <c r="AI16" i="22"/>
  <c r="AG16" i="22"/>
  <c r="AJ15" i="22"/>
  <c r="X15" i="22"/>
  <c r="W15" i="22"/>
  <c r="AO15" i="22" s="1"/>
  <c r="AN15" i="22"/>
  <c r="U15" i="22"/>
  <c r="AM15" i="22" s="1"/>
  <c r="T15" i="22"/>
  <c r="AL15" i="22" s="1"/>
  <c r="S15" i="22"/>
  <c r="AK15" i="22" s="1"/>
  <c r="R15" i="22"/>
  <c r="AI15" i="22"/>
  <c r="AH15" i="22"/>
  <c r="AG15" i="22"/>
  <c r="AN14" i="22"/>
  <c r="AM14" i="22"/>
  <c r="AK14" i="22"/>
  <c r="AA14" i="22"/>
  <c r="X14" i="22"/>
  <c r="W14" i="22"/>
  <c r="T14" i="22"/>
  <c r="AL14" i="22" s="1"/>
  <c r="S14" i="22"/>
  <c r="R14" i="22"/>
  <c r="AT14" i="22" s="1"/>
  <c r="AJ69" i="22" s="1"/>
  <c r="AS14" i="22"/>
  <c r="AI69" i="22" s="1"/>
  <c r="AO13" i="22"/>
  <c r="AM13" i="22"/>
  <c r="X13" i="22"/>
  <c r="W13" i="22"/>
  <c r="AN13" i="22"/>
  <c r="U13" i="22"/>
  <c r="T13" i="22"/>
  <c r="AL13" i="22" s="1"/>
  <c r="S13" i="22"/>
  <c r="R13" i="22"/>
  <c r="AJ13" i="22" s="1"/>
  <c r="AI13" i="22"/>
  <c r="AH13" i="22"/>
  <c r="X12" i="22"/>
  <c r="W12" i="22"/>
  <c r="AO12" i="22" s="1"/>
  <c r="AN12" i="22"/>
  <c r="U12" i="22"/>
  <c r="AM12" i="22" s="1"/>
  <c r="T12" i="22"/>
  <c r="AL12" i="22" s="1"/>
  <c r="S12" i="22"/>
  <c r="AK12" i="22" s="1"/>
  <c r="R12" i="22"/>
  <c r="AJ12" i="22" s="1"/>
  <c r="AI12" i="22"/>
  <c r="AH12" i="22"/>
  <c r="AG12" i="22"/>
  <c r="X11" i="22"/>
  <c r="W11" i="22"/>
  <c r="AO11" i="22" s="1"/>
  <c r="AN11" i="22"/>
  <c r="U11" i="22"/>
  <c r="AM11" i="22" s="1"/>
  <c r="T11" i="22"/>
  <c r="AL11" i="22" s="1"/>
  <c r="S11" i="22"/>
  <c r="AJ11" i="22"/>
  <c r="AI11" i="22"/>
  <c r="AH11" i="22"/>
  <c r="AL10" i="22"/>
  <c r="AA10" i="22"/>
  <c r="X10" i="22"/>
  <c r="W10" i="22"/>
  <c r="AM10" i="22"/>
  <c r="T10" i="22"/>
  <c r="B10" i="22"/>
  <c r="A11" i="22" s="1"/>
  <c r="B11" i="22" s="1"/>
  <c r="A12" i="22" s="1"/>
  <c r="B12" i="22" s="1"/>
  <c r="A13" i="22" s="1"/>
  <c r="B13" i="22" s="1"/>
  <c r="A14" i="22" s="1"/>
  <c r="B14" i="22" s="1"/>
  <c r="A15" i="22" s="1"/>
  <c r="B15" i="22" s="1"/>
  <c r="A16" i="22" s="1"/>
  <c r="B16" i="22" s="1"/>
  <c r="A17" i="22" s="1"/>
  <c r="B17" i="22" s="1"/>
  <c r="A18" i="22" s="1"/>
  <c r="B18" i="22" s="1"/>
  <c r="A19" i="22" s="1"/>
  <c r="B19" i="22" s="1"/>
  <c r="A20" i="22" s="1"/>
  <c r="B20" i="22" s="1"/>
  <c r="A21" i="22" s="1"/>
  <c r="B21" i="22" s="1"/>
  <c r="A22" i="22" s="1"/>
  <c r="B22" i="22" s="1"/>
  <c r="A23" i="22" s="1"/>
  <c r="B23" i="22" s="1"/>
  <c r="A24" i="22" s="1"/>
  <c r="B24" i="22" s="1"/>
  <c r="A25" i="22" s="1"/>
  <c r="B25" i="22" s="1"/>
  <c r="A26" i="22" s="1"/>
  <c r="B26" i="22" s="1"/>
  <c r="A27" i="22" s="1"/>
  <c r="B27" i="22" s="1"/>
  <c r="A28" i="22" s="1"/>
  <c r="B28" i="22" s="1"/>
  <c r="A29" i="22" s="1"/>
  <c r="B29" i="22" s="1"/>
  <c r="A30" i="22" s="1"/>
  <c r="B30" i="22" s="1"/>
  <c r="A31" i="22" s="1"/>
  <c r="B31" i="22" s="1"/>
  <c r="A32" i="22" s="1"/>
  <c r="B32" i="22" s="1"/>
  <c r="A33" i="22" s="1"/>
  <c r="B33" i="22" s="1"/>
  <c r="A34" i="22" s="1"/>
  <c r="B34" i="22" s="1"/>
  <c r="A35" i="22" s="1"/>
  <c r="B35" i="22" s="1"/>
  <c r="A36" i="22" s="1"/>
  <c r="B36" i="22" s="1"/>
  <c r="A37" i="22" s="1"/>
  <c r="B37" i="22" s="1"/>
  <c r="A38" i="22" s="1"/>
  <c r="B38" i="22" s="1"/>
  <c r="A39" i="22" s="1"/>
  <c r="B39" i="22" s="1"/>
  <c r="A40" i="22" s="1"/>
  <c r="B40" i="22" s="1"/>
  <c r="A41" i="22" s="1"/>
  <c r="B41" i="22" s="1"/>
  <c r="A42" i="22" s="1"/>
  <c r="B42" i="22" s="1"/>
  <c r="A43" i="22" s="1"/>
  <c r="B43" i="22" s="1"/>
  <c r="A44" i="22" s="1"/>
  <c r="B44" i="22" s="1"/>
  <c r="A45" i="22" s="1"/>
  <c r="B45" i="22" s="1"/>
  <c r="A46" i="22" s="1"/>
  <c r="B46" i="22" s="1"/>
  <c r="A47" i="22" s="1"/>
  <c r="B47" i="22" s="1"/>
  <c r="A48" i="22" s="1"/>
  <c r="B48" i="22" s="1"/>
  <c r="A49" i="22" s="1"/>
  <c r="B49" i="22" s="1"/>
  <c r="A50" i="22" s="1"/>
  <c r="B50" i="22" s="1"/>
  <c r="A51" i="22" s="1"/>
  <c r="B51" i="22" s="1"/>
  <c r="A52" i="22" s="1"/>
  <c r="B52" i="22" s="1"/>
  <c r="A53" i="22" s="1"/>
  <c r="B53" i="22" s="1"/>
  <c r="A54" i="22" s="1"/>
  <c r="B54" i="22" s="1"/>
  <c r="A55" i="22" s="1"/>
  <c r="B55" i="22" s="1"/>
  <c r="A56" i="22" s="1"/>
  <c r="B56" i="22" s="1"/>
  <c r="A57" i="22" s="1"/>
  <c r="B57" i="22" s="1"/>
  <c r="A58" i="22" s="1"/>
  <c r="B58" i="22" s="1"/>
  <c r="A59" i="22" s="1"/>
  <c r="B59" i="22" s="1"/>
  <c r="A60" i="22" s="1"/>
  <c r="B60" i="22" s="1"/>
  <c r="A61" i="22" s="1"/>
  <c r="B61" i="22" s="1"/>
  <c r="A62" i="22" s="1"/>
  <c r="B62" i="22" s="1"/>
  <c r="A63" i="22" s="1"/>
  <c r="B63" i="22" s="1"/>
  <c r="A64" i="22" s="1"/>
  <c r="B64" i="22" s="1"/>
  <c r="A65" i="22" s="1"/>
  <c r="B65" i="22" s="1"/>
  <c r="X7" i="22"/>
  <c r="W7" i="22"/>
  <c r="V7" i="22"/>
  <c r="U7" i="22"/>
  <c r="T7" i="22"/>
  <c r="S7" i="22"/>
  <c r="R7" i="22"/>
  <c r="Q7" i="22"/>
  <c r="P7" i="22"/>
  <c r="O7" i="22"/>
  <c r="AB82" i="21"/>
  <c r="Y82" i="21"/>
  <c r="AO82" i="21"/>
  <c r="AN82" i="21"/>
  <c r="AM82" i="21"/>
  <c r="AL82" i="21"/>
  <c r="AJ82" i="21"/>
  <c r="AI82" i="21"/>
  <c r="AH82" i="21"/>
  <c r="AG82" i="21"/>
  <c r="AL65" i="21"/>
  <c r="AJ65" i="21"/>
  <c r="AG65" i="21"/>
  <c r="X65" i="21"/>
  <c r="W65" i="21"/>
  <c r="AO65" i="21" s="1"/>
  <c r="V65" i="21"/>
  <c r="AN65" i="21" s="1"/>
  <c r="U65" i="21"/>
  <c r="AM65" i="21" s="1"/>
  <c r="T65" i="21"/>
  <c r="S65" i="21"/>
  <c r="AK65" i="21" s="1"/>
  <c r="R65" i="21"/>
  <c r="Q65" i="21"/>
  <c r="AI65" i="21" s="1"/>
  <c r="P65" i="21"/>
  <c r="O65" i="21"/>
  <c r="AN64" i="21"/>
  <c r="AL64" i="21"/>
  <c r="AA64" i="21"/>
  <c r="X64" i="21"/>
  <c r="W64" i="21"/>
  <c r="AO64" i="21" s="1"/>
  <c r="V64" i="21"/>
  <c r="U64" i="21"/>
  <c r="AM64" i="21" s="1"/>
  <c r="T64" i="21"/>
  <c r="S64" i="21"/>
  <c r="AK64" i="21" s="1"/>
  <c r="R64" i="21"/>
  <c r="AJ64" i="21" s="1"/>
  <c r="Q64" i="21"/>
  <c r="AI64" i="21" s="1"/>
  <c r="P64" i="21"/>
  <c r="O64" i="21"/>
  <c r="AG64" i="21" s="1"/>
  <c r="AN63" i="21"/>
  <c r="AK63" i="21"/>
  <c r="X63" i="21"/>
  <c r="W63" i="21"/>
  <c r="AO63" i="21" s="1"/>
  <c r="V63" i="21"/>
  <c r="AA63" i="21" s="1"/>
  <c r="U63" i="21"/>
  <c r="AM63" i="21" s="1"/>
  <c r="T63" i="21"/>
  <c r="S63" i="21"/>
  <c r="R63" i="21"/>
  <c r="AJ63" i="21" s="1"/>
  <c r="Q63" i="21"/>
  <c r="AI63" i="21" s="1"/>
  <c r="P63" i="21"/>
  <c r="AH63" i="21" s="1"/>
  <c r="O63" i="21"/>
  <c r="X62" i="21"/>
  <c r="W62" i="21"/>
  <c r="AO62" i="21" s="1"/>
  <c r="V62" i="21"/>
  <c r="U62" i="21"/>
  <c r="AW62" i="21" s="1"/>
  <c r="AM81" i="21" s="1"/>
  <c r="T62" i="21"/>
  <c r="AV62" i="21" s="1"/>
  <c r="AL81" i="21" s="1"/>
  <c r="S62" i="21"/>
  <c r="R62" i="21"/>
  <c r="AJ62" i="21" s="1"/>
  <c r="Q62" i="21"/>
  <c r="AI62" i="21" s="1"/>
  <c r="P62" i="21"/>
  <c r="AH62" i="21" s="1"/>
  <c r="O62" i="21"/>
  <c r="AQ62" i="21" s="1"/>
  <c r="AJ61" i="21"/>
  <c r="AH61" i="21"/>
  <c r="Z61" i="21"/>
  <c r="X61" i="21"/>
  <c r="W61" i="21"/>
  <c r="AO61" i="21" s="1"/>
  <c r="V61" i="21"/>
  <c r="AN61" i="21" s="1"/>
  <c r="U61" i="21"/>
  <c r="AM61" i="21" s="1"/>
  <c r="T61" i="21"/>
  <c r="AL61" i="21" s="1"/>
  <c r="S61" i="21"/>
  <c r="AK61" i="21" s="1"/>
  <c r="R61" i="21"/>
  <c r="Q61" i="21"/>
  <c r="AI61" i="21" s="1"/>
  <c r="P61" i="21"/>
  <c r="O61" i="21"/>
  <c r="AG61" i="21" s="1"/>
  <c r="AM60" i="21"/>
  <c r="AL60" i="21"/>
  <c r="AG60" i="21"/>
  <c r="X60" i="21"/>
  <c r="W60" i="21"/>
  <c r="AO60" i="21" s="1"/>
  <c r="V60" i="21"/>
  <c r="U60" i="21"/>
  <c r="T60" i="21"/>
  <c r="S60" i="21"/>
  <c r="R60" i="21"/>
  <c r="AJ60" i="21" s="1"/>
  <c r="Q60" i="21"/>
  <c r="P60" i="21"/>
  <c r="AH60" i="21" s="1"/>
  <c r="O60" i="21"/>
  <c r="AO59" i="21"/>
  <c r="AG59" i="21"/>
  <c r="X59" i="21"/>
  <c r="W59" i="21"/>
  <c r="V59" i="21"/>
  <c r="AA59" i="21" s="1"/>
  <c r="U59" i="21"/>
  <c r="AM59" i="21" s="1"/>
  <c r="T59" i="21"/>
  <c r="AL59" i="21" s="1"/>
  <c r="S59" i="21"/>
  <c r="AK59" i="21" s="1"/>
  <c r="R59" i="21"/>
  <c r="AJ59" i="21" s="1"/>
  <c r="Q59" i="21"/>
  <c r="AI59" i="21" s="1"/>
  <c r="P59" i="21"/>
  <c r="AH59" i="21" s="1"/>
  <c r="O59" i="21"/>
  <c r="Y59" i="21" s="1"/>
  <c r="X58" i="21"/>
  <c r="W58" i="21"/>
  <c r="V58" i="21"/>
  <c r="AN58" i="21" s="1"/>
  <c r="U58" i="21"/>
  <c r="AW58" i="21" s="1"/>
  <c r="AM80" i="21" s="1"/>
  <c r="T58" i="21"/>
  <c r="S58" i="21"/>
  <c r="AK58" i="21" s="1"/>
  <c r="R58" i="21"/>
  <c r="AJ58" i="21" s="1"/>
  <c r="Q58" i="21"/>
  <c r="P58" i="21"/>
  <c r="AH58" i="21" s="1"/>
  <c r="O58" i="21"/>
  <c r="AG58" i="21" s="1"/>
  <c r="X57" i="21"/>
  <c r="W57" i="21"/>
  <c r="AO57" i="21" s="1"/>
  <c r="V57" i="21"/>
  <c r="U57" i="21"/>
  <c r="AM57" i="21" s="1"/>
  <c r="T57" i="21"/>
  <c r="AL57" i="21" s="1"/>
  <c r="S57" i="21"/>
  <c r="R57" i="21"/>
  <c r="AJ57" i="21" s="1"/>
  <c r="Q57" i="21"/>
  <c r="P57" i="21"/>
  <c r="AH57" i="21" s="1"/>
  <c r="O57" i="21"/>
  <c r="AG57" i="21" s="1"/>
  <c r="AH56" i="21"/>
  <c r="X56" i="21"/>
  <c r="W56" i="21"/>
  <c r="AO56" i="21" s="1"/>
  <c r="V56" i="21"/>
  <c r="AN56" i="21" s="1"/>
  <c r="U56" i="21"/>
  <c r="AM56" i="21" s="1"/>
  <c r="T56" i="21"/>
  <c r="AL56" i="21" s="1"/>
  <c r="S56" i="21"/>
  <c r="AK56" i="21" s="1"/>
  <c r="R56" i="21"/>
  <c r="AJ56" i="21" s="1"/>
  <c r="Q56" i="21"/>
  <c r="AI56" i="21" s="1"/>
  <c r="P56" i="21"/>
  <c r="O56" i="21"/>
  <c r="AO55" i="21"/>
  <c r="AM55" i="21"/>
  <c r="AJ55" i="21"/>
  <c r="AI55" i="21"/>
  <c r="AG55" i="21"/>
  <c r="X55" i="21"/>
  <c r="W55" i="21"/>
  <c r="V55" i="21"/>
  <c r="U55" i="21"/>
  <c r="T55" i="21"/>
  <c r="AL55" i="21" s="1"/>
  <c r="S55" i="21"/>
  <c r="AK55" i="21" s="1"/>
  <c r="R55" i="21"/>
  <c r="Q55" i="21"/>
  <c r="P55" i="21"/>
  <c r="AH55" i="21" s="1"/>
  <c r="O55" i="21"/>
  <c r="Y55" i="21" s="1"/>
  <c r="AU54" i="21"/>
  <c r="AM54" i="21"/>
  <c r="X54" i="21"/>
  <c r="W54" i="21"/>
  <c r="AO54" i="21" s="1"/>
  <c r="V54" i="21"/>
  <c r="U54" i="21"/>
  <c r="T54" i="21"/>
  <c r="AL54" i="21" s="1"/>
  <c r="S54" i="21"/>
  <c r="AK54" i="21" s="1"/>
  <c r="R54" i="21"/>
  <c r="AJ54" i="21" s="1"/>
  <c r="Q54" i="21"/>
  <c r="AI54" i="21" s="1"/>
  <c r="P54" i="21"/>
  <c r="AH54" i="21" s="1"/>
  <c r="O54" i="21"/>
  <c r="AG54" i="21" s="1"/>
  <c r="AM53" i="21"/>
  <c r="X53" i="21"/>
  <c r="W53" i="21"/>
  <c r="AO53" i="21" s="1"/>
  <c r="V53" i="21"/>
  <c r="AA53" i="21" s="1"/>
  <c r="U53" i="21"/>
  <c r="T53" i="21"/>
  <c r="AL53" i="21" s="1"/>
  <c r="S53" i="21"/>
  <c r="R53" i="21"/>
  <c r="AJ53" i="21" s="1"/>
  <c r="Q53" i="21"/>
  <c r="P53" i="21"/>
  <c r="AH53" i="21" s="1"/>
  <c r="O53" i="21"/>
  <c r="AG53" i="21" s="1"/>
  <c r="AL52" i="21"/>
  <c r="AI52" i="21"/>
  <c r="X52" i="21"/>
  <c r="W52" i="21"/>
  <c r="AO52" i="21" s="1"/>
  <c r="V52" i="21"/>
  <c r="AA52" i="21" s="1"/>
  <c r="U52" i="21"/>
  <c r="AM52" i="21" s="1"/>
  <c r="T52" i="21"/>
  <c r="S52" i="21"/>
  <c r="R52" i="21"/>
  <c r="AJ52" i="21" s="1"/>
  <c r="Q52" i="21"/>
  <c r="P52" i="21"/>
  <c r="AH52" i="21" s="1"/>
  <c r="O52" i="21"/>
  <c r="AG52" i="21" s="1"/>
  <c r="AN51" i="21"/>
  <c r="AL51" i="21"/>
  <c r="X51" i="21"/>
  <c r="W51" i="21"/>
  <c r="V51" i="21"/>
  <c r="U51" i="21"/>
  <c r="T51" i="21"/>
  <c r="S51" i="21"/>
  <c r="AK51" i="21" s="1"/>
  <c r="R51" i="21"/>
  <c r="AJ51" i="21" s="1"/>
  <c r="Q51" i="21"/>
  <c r="AI51" i="21" s="1"/>
  <c r="P51" i="21"/>
  <c r="AH51" i="21" s="1"/>
  <c r="O51" i="21"/>
  <c r="AK50" i="21"/>
  <c r="AI50" i="21"/>
  <c r="X50" i="21"/>
  <c r="W50" i="21"/>
  <c r="AO50" i="21" s="1"/>
  <c r="V50" i="21"/>
  <c r="U50" i="21"/>
  <c r="T50" i="21"/>
  <c r="AL50" i="21" s="1"/>
  <c r="S50" i="21"/>
  <c r="AU50" i="21" s="1"/>
  <c r="R50" i="21"/>
  <c r="AJ50" i="21" s="1"/>
  <c r="Q50" i="21"/>
  <c r="P50" i="21"/>
  <c r="AH50" i="21" s="1"/>
  <c r="O50" i="21"/>
  <c r="AG50" i="21" s="1"/>
  <c r="AI49" i="21"/>
  <c r="AH49" i="21"/>
  <c r="AG49" i="21"/>
  <c r="X49" i="21"/>
  <c r="W49" i="21"/>
  <c r="AO49" i="21" s="1"/>
  <c r="V49" i="21"/>
  <c r="U49" i="21"/>
  <c r="AM49" i="21" s="1"/>
  <c r="T49" i="21"/>
  <c r="AL49" i="21" s="1"/>
  <c r="S49" i="21"/>
  <c r="AK49" i="21" s="1"/>
  <c r="R49" i="21"/>
  <c r="AJ49" i="21" s="1"/>
  <c r="Q49" i="21"/>
  <c r="P49" i="21"/>
  <c r="O49" i="21"/>
  <c r="AM48" i="21"/>
  <c r="AK48" i="21"/>
  <c r="X48" i="21"/>
  <c r="W48" i="21"/>
  <c r="AO48" i="21" s="1"/>
  <c r="V48" i="21"/>
  <c r="AA48" i="21" s="1"/>
  <c r="U48" i="21"/>
  <c r="T48" i="21"/>
  <c r="S48" i="21"/>
  <c r="R48" i="21"/>
  <c r="AJ48" i="21" s="1"/>
  <c r="Q48" i="21"/>
  <c r="AI48" i="21" s="1"/>
  <c r="P48" i="21"/>
  <c r="AH48" i="21" s="1"/>
  <c r="O48" i="21"/>
  <c r="AG47" i="21"/>
  <c r="X47" i="21"/>
  <c r="W47" i="21"/>
  <c r="AO47" i="21" s="1"/>
  <c r="V47" i="21"/>
  <c r="U47" i="21"/>
  <c r="AM47" i="21" s="1"/>
  <c r="T47" i="21"/>
  <c r="AL47" i="21" s="1"/>
  <c r="S47" i="21"/>
  <c r="AK47" i="21" s="1"/>
  <c r="R47" i="21"/>
  <c r="AJ47" i="21" s="1"/>
  <c r="Q47" i="21"/>
  <c r="AI47" i="21" s="1"/>
  <c r="P47" i="21"/>
  <c r="O47" i="21"/>
  <c r="AN46" i="21"/>
  <c r="AG46" i="21"/>
  <c r="X46" i="21"/>
  <c r="W46" i="21"/>
  <c r="AY46" i="21" s="1"/>
  <c r="AO77" i="21" s="1"/>
  <c r="V46" i="21"/>
  <c r="U46" i="21"/>
  <c r="T46" i="21"/>
  <c r="AL46" i="21" s="1"/>
  <c r="S46" i="21"/>
  <c r="R46" i="21"/>
  <c r="AJ46" i="21" s="1"/>
  <c r="Q46" i="21"/>
  <c r="P46" i="21"/>
  <c r="AH46" i="21" s="1"/>
  <c r="O46" i="21"/>
  <c r="AI45" i="21"/>
  <c r="AH45" i="21"/>
  <c r="X45" i="21"/>
  <c r="W45" i="21"/>
  <c r="AO45" i="21" s="1"/>
  <c r="V45" i="21"/>
  <c r="AN45" i="21" s="1"/>
  <c r="U45" i="21"/>
  <c r="AM45" i="21" s="1"/>
  <c r="T45" i="21"/>
  <c r="AL45" i="21" s="1"/>
  <c r="S45" i="21"/>
  <c r="R45" i="21"/>
  <c r="AJ45" i="21" s="1"/>
  <c r="Q45" i="21"/>
  <c r="P45" i="21"/>
  <c r="O45" i="21"/>
  <c r="AG45" i="21" s="1"/>
  <c r="AN44" i="21"/>
  <c r="X44" i="21"/>
  <c r="W44" i="21"/>
  <c r="V44" i="21"/>
  <c r="U44" i="21"/>
  <c r="T44" i="21"/>
  <c r="AL44" i="21" s="1"/>
  <c r="S44" i="21"/>
  <c r="AK44" i="21" s="1"/>
  <c r="R44" i="21"/>
  <c r="AJ44" i="21" s="1"/>
  <c r="Q44" i="21"/>
  <c r="P44" i="21"/>
  <c r="AH44" i="21" s="1"/>
  <c r="O44" i="21"/>
  <c r="AH43" i="21"/>
  <c r="X43" i="21"/>
  <c r="W43" i="21"/>
  <c r="V43" i="21"/>
  <c r="AN43" i="21" s="1"/>
  <c r="U43" i="21"/>
  <c r="AM43" i="21" s="1"/>
  <c r="T43" i="21"/>
  <c r="AL43" i="21" s="1"/>
  <c r="S43" i="21"/>
  <c r="Z43" i="21" s="1"/>
  <c r="R43" i="21"/>
  <c r="AJ43" i="21" s="1"/>
  <c r="Q43" i="21"/>
  <c r="AI43" i="21" s="1"/>
  <c r="P43" i="21"/>
  <c r="O43" i="21"/>
  <c r="AK42" i="21"/>
  <c r="AI42" i="21"/>
  <c r="X42" i="21"/>
  <c r="W42" i="21"/>
  <c r="AO42" i="21" s="1"/>
  <c r="V42" i="21"/>
  <c r="U42" i="21"/>
  <c r="AM42" i="21" s="1"/>
  <c r="T42" i="21"/>
  <c r="S42" i="21"/>
  <c r="R42" i="21"/>
  <c r="AJ42" i="21" s="1"/>
  <c r="Q42" i="21"/>
  <c r="P42" i="21"/>
  <c r="O42" i="21"/>
  <c r="AJ41" i="21"/>
  <c r="AI41" i="21"/>
  <c r="AH41" i="21"/>
  <c r="X41" i="21"/>
  <c r="W41" i="21"/>
  <c r="AO41" i="21" s="1"/>
  <c r="V41" i="21"/>
  <c r="U41" i="21"/>
  <c r="AM41" i="21" s="1"/>
  <c r="T41" i="21"/>
  <c r="S41" i="21"/>
  <c r="AK41" i="21" s="1"/>
  <c r="R41" i="21"/>
  <c r="Q41" i="21"/>
  <c r="P41" i="21"/>
  <c r="O41" i="21"/>
  <c r="AO40" i="21"/>
  <c r="AJ40" i="21"/>
  <c r="AG40" i="21"/>
  <c r="X40" i="21"/>
  <c r="W40" i="21"/>
  <c r="V40" i="21"/>
  <c r="U40" i="21"/>
  <c r="AM40" i="21" s="1"/>
  <c r="T40" i="21"/>
  <c r="AL40" i="21" s="1"/>
  <c r="S40" i="21"/>
  <c r="AK40" i="21" s="1"/>
  <c r="R40" i="21"/>
  <c r="Q40" i="21"/>
  <c r="AI40" i="21" s="1"/>
  <c r="P40" i="21"/>
  <c r="O40" i="21"/>
  <c r="AN39" i="21"/>
  <c r="AM39" i="21"/>
  <c r="AG39" i="21"/>
  <c r="X39" i="21"/>
  <c r="W39" i="21"/>
  <c r="AO39" i="21" s="1"/>
  <c r="V39" i="21"/>
  <c r="U39" i="21"/>
  <c r="T39" i="21"/>
  <c r="AL39" i="21" s="1"/>
  <c r="S39" i="21"/>
  <c r="R39" i="21"/>
  <c r="AJ39" i="21" s="1"/>
  <c r="Q39" i="21"/>
  <c r="AI39" i="21" s="1"/>
  <c r="P39" i="21"/>
  <c r="AH39" i="21" s="1"/>
  <c r="O39" i="21"/>
  <c r="AL38" i="21"/>
  <c r="AJ38" i="21"/>
  <c r="AI38" i="21"/>
  <c r="X38" i="21"/>
  <c r="W38" i="21"/>
  <c r="AO38" i="21" s="1"/>
  <c r="V38" i="21"/>
  <c r="AN38" i="21" s="1"/>
  <c r="U38" i="21"/>
  <c r="T38" i="21"/>
  <c r="S38" i="21"/>
  <c r="R38" i="21"/>
  <c r="Q38" i="21"/>
  <c r="AS38" i="21" s="1"/>
  <c r="AI75" i="21" s="1"/>
  <c r="P38" i="21"/>
  <c r="O38" i="21"/>
  <c r="AI37" i="21"/>
  <c r="X37" i="21"/>
  <c r="AA37" i="21"/>
  <c r="AN37" i="21"/>
  <c r="U37" i="21"/>
  <c r="T37" i="21"/>
  <c r="AL37" i="21" s="1"/>
  <c r="S37" i="21"/>
  <c r="AK37" i="21" s="1"/>
  <c r="AJ37" i="21"/>
  <c r="AH37" i="21"/>
  <c r="AM36" i="21"/>
  <c r="AL36" i="21"/>
  <c r="AK36" i="21"/>
  <c r="X36" i="21"/>
  <c r="AO36" i="21"/>
  <c r="V36" i="21"/>
  <c r="AN36" i="21" s="1"/>
  <c r="U36" i="21"/>
  <c r="T36" i="21"/>
  <c r="S36" i="21"/>
  <c r="Z36" i="21" s="1"/>
  <c r="AJ36" i="21"/>
  <c r="AI36" i="21"/>
  <c r="AH36" i="21"/>
  <c r="AJ35" i="21"/>
  <c r="AH35" i="21"/>
  <c r="AG35" i="21"/>
  <c r="X35" i="21"/>
  <c r="AO35" i="21"/>
  <c r="V35" i="21"/>
  <c r="AA35" i="21" s="1"/>
  <c r="U35" i="21"/>
  <c r="AM35" i="21" s="1"/>
  <c r="AL35" i="21"/>
  <c r="S35" i="21"/>
  <c r="AK35" i="21" s="1"/>
  <c r="AI35" i="21"/>
  <c r="AB35" i="21"/>
  <c r="AM34" i="21"/>
  <c r="X34" i="21"/>
  <c r="AO34" i="21"/>
  <c r="V34" i="21"/>
  <c r="U34" i="21"/>
  <c r="AW34" i="21" s="1"/>
  <c r="AM74" i="21" s="1"/>
  <c r="S34" i="21"/>
  <c r="AH34" i="21"/>
  <c r="AK33" i="21"/>
  <c r="AG33" i="21"/>
  <c r="Z33" i="21"/>
  <c r="X33" i="21"/>
  <c r="AO33" i="21"/>
  <c r="V33" i="21"/>
  <c r="U33" i="21"/>
  <c r="AM33" i="21" s="1"/>
  <c r="AL33" i="21"/>
  <c r="S33" i="21"/>
  <c r="AJ33" i="21"/>
  <c r="AI33" i="21"/>
  <c r="AO32" i="21"/>
  <c r="AN32" i="21"/>
  <c r="AI32" i="21"/>
  <c r="AA32" i="21"/>
  <c r="X32" i="21"/>
  <c r="V32" i="21"/>
  <c r="U32" i="21"/>
  <c r="AM32" i="21" s="1"/>
  <c r="AL32" i="21"/>
  <c r="S32" i="21"/>
  <c r="AJ32" i="21"/>
  <c r="AH32" i="21"/>
  <c r="AG32" i="21"/>
  <c r="AO31" i="21"/>
  <c r="AN31" i="21"/>
  <c r="AI31" i="21"/>
  <c r="AH31" i="21"/>
  <c r="AG31" i="21"/>
  <c r="X31" i="21"/>
  <c r="U31" i="21"/>
  <c r="AM31" i="21" s="1"/>
  <c r="AL31" i="21"/>
  <c r="S31" i="21"/>
  <c r="AJ31" i="21"/>
  <c r="AK30" i="21"/>
  <c r="AJ30" i="21"/>
  <c r="X30" i="21"/>
  <c r="AN30" i="21"/>
  <c r="U30" i="21"/>
  <c r="T30" i="21"/>
  <c r="AI30" i="21"/>
  <c r="AH30" i="21"/>
  <c r="AM29" i="21"/>
  <c r="X29" i="21"/>
  <c r="AO29" i="21"/>
  <c r="AN29" i="21"/>
  <c r="U29" i="21"/>
  <c r="T29" i="21"/>
  <c r="AL29" i="21" s="1"/>
  <c r="S29" i="21"/>
  <c r="AK29" i="21" s="1"/>
  <c r="AJ29" i="21"/>
  <c r="AI29" i="21"/>
  <c r="AH29" i="21"/>
  <c r="AJ28" i="21"/>
  <c r="AG28" i="21"/>
  <c r="X28" i="21"/>
  <c r="AO28" i="21"/>
  <c r="AA28" i="21"/>
  <c r="U28" i="21"/>
  <c r="AM28" i="21" s="1"/>
  <c r="T28" i="21"/>
  <c r="AL28" i="21" s="1"/>
  <c r="S28" i="21"/>
  <c r="AK28" i="21" s="1"/>
  <c r="AI28" i="21"/>
  <c r="AH28" i="21"/>
  <c r="AL27" i="21"/>
  <c r="X27" i="21"/>
  <c r="AO27" i="21"/>
  <c r="AN27" i="21"/>
  <c r="U27" i="21"/>
  <c r="AM27" i="21" s="1"/>
  <c r="S27" i="21"/>
  <c r="AJ27" i="21"/>
  <c r="AI27" i="21"/>
  <c r="AH27" i="21"/>
  <c r="AK26" i="21"/>
  <c r="AJ26" i="21"/>
  <c r="AG26" i="21"/>
  <c r="X26" i="21"/>
  <c r="AN26" i="21"/>
  <c r="U26" i="21"/>
  <c r="AM26" i="21" s="1"/>
  <c r="AV26" i="21"/>
  <c r="AL72" i="21" s="1"/>
  <c r="S26" i="21"/>
  <c r="AI26" i="21"/>
  <c r="AO25" i="21"/>
  <c r="AN25" i="21"/>
  <c r="AG25" i="21"/>
  <c r="AA25" i="21"/>
  <c r="X25" i="21"/>
  <c r="U25" i="21"/>
  <c r="AM25" i="21" s="1"/>
  <c r="S25" i="21"/>
  <c r="AK25" i="21" s="1"/>
  <c r="AJ25" i="21"/>
  <c r="AI25" i="21"/>
  <c r="AH25" i="21"/>
  <c r="AO24" i="21"/>
  <c r="AM24" i="21"/>
  <c r="AK24" i="21"/>
  <c r="X24" i="21"/>
  <c r="U24" i="21"/>
  <c r="T24" i="21"/>
  <c r="AL24" i="21" s="1"/>
  <c r="S24" i="21"/>
  <c r="AJ24" i="21"/>
  <c r="AI24" i="21"/>
  <c r="AB24" i="21"/>
  <c r="AG24" i="21"/>
  <c r="AG23" i="21"/>
  <c r="X23" i="21"/>
  <c r="AO23" i="21"/>
  <c r="U23" i="21"/>
  <c r="AM23" i="21" s="1"/>
  <c r="AL23" i="21"/>
  <c r="S23" i="21"/>
  <c r="AJ23" i="21"/>
  <c r="AH23" i="21"/>
  <c r="AJ22" i="21"/>
  <c r="AG22" i="21"/>
  <c r="AB22" i="21"/>
  <c r="X22" i="21"/>
  <c r="V22" i="21"/>
  <c r="U22" i="21"/>
  <c r="AL22" i="21"/>
  <c r="AQ22" i="21"/>
  <c r="AO21" i="21"/>
  <c r="AG21" i="21"/>
  <c r="X21" i="21"/>
  <c r="V21" i="21"/>
  <c r="AN21" i="21" s="1"/>
  <c r="U21" i="21"/>
  <c r="AM21" i="21" s="1"/>
  <c r="AL21" i="21"/>
  <c r="S21" i="21"/>
  <c r="AK21" i="21" s="1"/>
  <c r="AJ21" i="21"/>
  <c r="AI21" i="21"/>
  <c r="AH21" i="21"/>
  <c r="AN20" i="21"/>
  <c r="AK20" i="21"/>
  <c r="AI20" i="21"/>
  <c r="X20" i="21"/>
  <c r="AO20" i="21"/>
  <c r="U20" i="21"/>
  <c r="AM20" i="21" s="1"/>
  <c r="T20" i="21"/>
  <c r="AL20" i="21" s="1"/>
  <c r="S20" i="21"/>
  <c r="AJ20" i="21"/>
  <c r="AH20" i="21"/>
  <c r="AG20" i="21"/>
  <c r="AM19" i="21"/>
  <c r="AK19" i="21"/>
  <c r="X19" i="21"/>
  <c r="AO19" i="21"/>
  <c r="AN19" i="21"/>
  <c r="T19" i="21"/>
  <c r="AL19" i="21" s="1"/>
  <c r="S19" i="21"/>
  <c r="AJ19" i="21"/>
  <c r="AI19" i="21"/>
  <c r="AH19" i="21"/>
  <c r="Y19" i="21"/>
  <c r="AN18" i="21"/>
  <c r="X18" i="21"/>
  <c r="V18" i="21"/>
  <c r="AA18" i="21" s="1"/>
  <c r="AM18" i="21"/>
  <c r="T18" i="21"/>
  <c r="S18" i="21"/>
  <c r="Y18" i="21"/>
  <c r="X17" i="21"/>
  <c r="W17" i="21"/>
  <c r="AO17" i="21" s="1"/>
  <c r="V17" i="21"/>
  <c r="AN17" i="21" s="1"/>
  <c r="AM17" i="21"/>
  <c r="T17" i="21"/>
  <c r="AL17" i="21" s="1"/>
  <c r="AK17" i="21"/>
  <c r="AJ17" i="21"/>
  <c r="AI17" i="21"/>
  <c r="AH17" i="21"/>
  <c r="AG17" i="21"/>
  <c r="AG16" i="21"/>
  <c r="X16" i="21"/>
  <c r="AO16" i="21"/>
  <c r="AN16" i="21"/>
  <c r="U16" i="21"/>
  <c r="AM16" i="21" s="1"/>
  <c r="T16" i="21"/>
  <c r="AL16" i="21" s="1"/>
  <c r="S16" i="21"/>
  <c r="AK16" i="21" s="1"/>
  <c r="AJ16" i="21"/>
  <c r="AI16" i="21"/>
  <c r="AH16" i="21"/>
  <c r="AI15" i="21"/>
  <c r="X15" i="21"/>
  <c r="AO15" i="21"/>
  <c r="V15" i="21"/>
  <c r="AN15" i="21" s="1"/>
  <c r="U15" i="21"/>
  <c r="AM15" i="21" s="1"/>
  <c r="T15" i="21"/>
  <c r="AL15" i="21" s="1"/>
  <c r="S15" i="21"/>
  <c r="AK15" i="21" s="1"/>
  <c r="AJ15" i="21"/>
  <c r="AH15" i="21"/>
  <c r="Y15" i="21"/>
  <c r="AL14" i="21"/>
  <c r="X14" i="21"/>
  <c r="AY14" i="21"/>
  <c r="AO69" i="21" s="1"/>
  <c r="V14" i="21"/>
  <c r="AN14" i="21" s="1"/>
  <c r="U14" i="21"/>
  <c r="T14" i="21"/>
  <c r="S14" i="21"/>
  <c r="AI14" i="21"/>
  <c r="X13" i="21"/>
  <c r="AO13" i="21"/>
  <c r="V13" i="21"/>
  <c r="AN13" i="21" s="1"/>
  <c r="AM13" i="21"/>
  <c r="T13" i="21"/>
  <c r="AL13" i="21" s="1"/>
  <c r="S13" i="21"/>
  <c r="AK13" i="21" s="1"/>
  <c r="AJ13" i="21"/>
  <c r="AI13" i="21"/>
  <c r="AH13" i="21"/>
  <c r="AG13" i="21"/>
  <c r="AK12" i="21"/>
  <c r="AH12" i="21"/>
  <c r="Z12" i="21"/>
  <c r="X12" i="21"/>
  <c r="AO12" i="21"/>
  <c r="V12" i="21"/>
  <c r="AN12" i="21" s="1"/>
  <c r="AM12" i="21"/>
  <c r="T12" i="21"/>
  <c r="AL12" i="21" s="1"/>
  <c r="AJ12" i="21"/>
  <c r="AI12" i="21"/>
  <c r="Y12" i="21"/>
  <c r="AO11" i="21"/>
  <c r="AM11" i="21"/>
  <c r="X11" i="21"/>
  <c r="T11" i="21"/>
  <c r="AL11" i="21" s="1"/>
  <c r="AK11" i="21"/>
  <c r="AJ11" i="21"/>
  <c r="AH11" i="21"/>
  <c r="AG11" i="21"/>
  <c r="AH10" i="21"/>
  <c r="X10" i="21"/>
  <c r="AO10" i="21"/>
  <c r="V10" i="21"/>
  <c r="AS10" i="21"/>
  <c r="AG10" i="21"/>
  <c r="B10" i="21"/>
  <c r="A11" i="21" s="1"/>
  <c r="B11" i="21" s="1"/>
  <c r="A12" i="21" s="1"/>
  <c r="B12" i="21" s="1"/>
  <c r="A13" i="21" s="1"/>
  <c r="B13" i="21" s="1"/>
  <c r="A14" i="21" s="1"/>
  <c r="B14" i="21" s="1"/>
  <c r="A15" i="21" s="1"/>
  <c r="B15" i="21" s="1"/>
  <c r="A16" i="21" s="1"/>
  <c r="B16" i="21" s="1"/>
  <c r="A17" i="21" s="1"/>
  <c r="B17" i="21" s="1"/>
  <c r="A18" i="21" s="1"/>
  <c r="B18" i="21" s="1"/>
  <c r="A19" i="21" s="1"/>
  <c r="B19" i="21" s="1"/>
  <c r="A20" i="21" s="1"/>
  <c r="B20" i="21" s="1"/>
  <c r="A21" i="21" s="1"/>
  <c r="B21" i="21" s="1"/>
  <c r="A22" i="21" s="1"/>
  <c r="B22" i="21" s="1"/>
  <c r="A23" i="21" s="1"/>
  <c r="B23" i="21" s="1"/>
  <c r="A24" i="21" s="1"/>
  <c r="B24" i="21" s="1"/>
  <c r="A25" i="21" s="1"/>
  <c r="B25" i="21" s="1"/>
  <c r="A26" i="21" s="1"/>
  <c r="B26" i="21" s="1"/>
  <c r="A27" i="21" s="1"/>
  <c r="B27" i="21" s="1"/>
  <c r="A28" i="21" s="1"/>
  <c r="B28" i="21" s="1"/>
  <c r="A29" i="21" s="1"/>
  <c r="B29" i="21" s="1"/>
  <c r="A30" i="21" s="1"/>
  <c r="B30" i="21" s="1"/>
  <c r="A31" i="21" s="1"/>
  <c r="B31" i="21" s="1"/>
  <c r="A32" i="21" s="1"/>
  <c r="B32" i="21" s="1"/>
  <c r="A33" i="21" s="1"/>
  <c r="B33" i="21" s="1"/>
  <c r="A34" i="21" s="1"/>
  <c r="B34" i="21" s="1"/>
  <c r="A35" i="21" s="1"/>
  <c r="B35" i="21" s="1"/>
  <c r="A36" i="21" s="1"/>
  <c r="B36" i="21" s="1"/>
  <c r="A37" i="21" s="1"/>
  <c r="B37" i="21" s="1"/>
  <c r="A38" i="21" s="1"/>
  <c r="B38" i="21" s="1"/>
  <c r="A39" i="21" s="1"/>
  <c r="B39" i="21" s="1"/>
  <c r="A40" i="21" s="1"/>
  <c r="B40" i="21" s="1"/>
  <c r="A41" i="21" s="1"/>
  <c r="B41" i="21" s="1"/>
  <c r="A42" i="21" s="1"/>
  <c r="B42" i="21" s="1"/>
  <c r="A43" i="21" s="1"/>
  <c r="B43" i="21" s="1"/>
  <c r="A44" i="21" s="1"/>
  <c r="B44" i="21" s="1"/>
  <c r="A45" i="21" s="1"/>
  <c r="B45" i="21" s="1"/>
  <c r="A46" i="21" s="1"/>
  <c r="B46" i="21" s="1"/>
  <c r="A47" i="21" s="1"/>
  <c r="B47" i="21" s="1"/>
  <c r="A48" i="21" s="1"/>
  <c r="B48" i="21" s="1"/>
  <c r="A49" i="21" s="1"/>
  <c r="B49" i="21" s="1"/>
  <c r="A50" i="21" s="1"/>
  <c r="B50" i="21" s="1"/>
  <c r="A51" i="21" s="1"/>
  <c r="B51" i="21" s="1"/>
  <c r="A52" i="21" s="1"/>
  <c r="B52" i="21" s="1"/>
  <c r="A53" i="21" s="1"/>
  <c r="B53" i="21" s="1"/>
  <c r="A54" i="21" s="1"/>
  <c r="B54" i="21" s="1"/>
  <c r="A55" i="21" s="1"/>
  <c r="B55" i="21" s="1"/>
  <c r="A56" i="21" s="1"/>
  <c r="B56" i="21" s="1"/>
  <c r="A57" i="21" s="1"/>
  <c r="B57" i="21" s="1"/>
  <c r="A58" i="21" s="1"/>
  <c r="B58" i="21" s="1"/>
  <c r="A59" i="21" s="1"/>
  <c r="B59" i="21" s="1"/>
  <c r="A60" i="21" s="1"/>
  <c r="B60" i="21" s="1"/>
  <c r="A61" i="21" s="1"/>
  <c r="B61" i="21" s="1"/>
  <c r="A62" i="21" s="1"/>
  <c r="B62" i="21" s="1"/>
  <c r="A63" i="21" s="1"/>
  <c r="B63" i="21" s="1"/>
  <c r="A64" i="21" s="1"/>
  <c r="B64" i="21" s="1"/>
  <c r="A65" i="21" s="1"/>
  <c r="B65" i="21" s="1"/>
  <c r="X7" i="21"/>
  <c r="W7" i="21"/>
  <c r="V7" i="21"/>
  <c r="U7" i="21"/>
  <c r="T7" i="21"/>
  <c r="S7" i="21"/>
  <c r="R7" i="21"/>
  <c r="Q7" i="21"/>
  <c r="P7" i="21"/>
  <c r="O7" i="21"/>
  <c r="AB82" i="20"/>
  <c r="AO82" i="20"/>
  <c r="AN82" i="20"/>
  <c r="AM82" i="20"/>
  <c r="AL82" i="20"/>
  <c r="AJ82" i="20"/>
  <c r="AH82" i="20"/>
  <c r="AG82" i="20"/>
  <c r="X65" i="20"/>
  <c r="W65" i="20"/>
  <c r="AO65" i="20" s="1"/>
  <c r="V65" i="20"/>
  <c r="AN65" i="20" s="1"/>
  <c r="U65" i="20"/>
  <c r="AM65" i="20" s="1"/>
  <c r="T65" i="20"/>
  <c r="AL65" i="20" s="1"/>
  <c r="S65" i="20"/>
  <c r="R65" i="20"/>
  <c r="AJ65" i="20" s="1"/>
  <c r="Q65" i="20"/>
  <c r="P65" i="20"/>
  <c r="AH65" i="20" s="1"/>
  <c r="O65" i="20"/>
  <c r="AG65" i="20" s="1"/>
  <c r="AM64" i="20"/>
  <c r="X64" i="20"/>
  <c r="W64" i="20"/>
  <c r="V64" i="20"/>
  <c r="AN64" i="20" s="1"/>
  <c r="U64" i="20"/>
  <c r="T64" i="20"/>
  <c r="AL64" i="20" s="1"/>
  <c r="S64" i="20"/>
  <c r="R64" i="20"/>
  <c r="AJ64" i="20" s="1"/>
  <c r="Q64" i="20"/>
  <c r="AI64" i="20" s="1"/>
  <c r="P64" i="20"/>
  <c r="AH64" i="20" s="1"/>
  <c r="O64" i="20"/>
  <c r="AG64" i="20" s="1"/>
  <c r="X63" i="20"/>
  <c r="W63" i="20"/>
  <c r="AO63" i="20" s="1"/>
  <c r="V63" i="20"/>
  <c r="U63" i="20"/>
  <c r="AM63" i="20" s="1"/>
  <c r="T63" i="20"/>
  <c r="AL63" i="20" s="1"/>
  <c r="S63" i="20"/>
  <c r="AK63" i="20" s="1"/>
  <c r="R63" i="20"/>
  <c r="AJ63" i="20" s="1"/>
  <c r="Q63" i="20"/>
  <c r="AI63" i="20" s="1"/>
  <c r="P63" i="20"/>
  <c r="AH63" i="20" s="1"/>
  <c r="O63" i="20"/>
  <c r="AG63" i="20" s="1"/>
  <c r="AR62" i="20"/>
  <c r="AH81" i="20" s="1"/>
  <c r="X62" i="20"/>
  <c r="W62" i="20"/>
  <c r="V62" i="20"/>
  <c r="AN62" i="20" s="1"/>
  <c r="U62" i="20"/>
  <c r="T62" i="20"/>
  <c r="S62" i="20"/>
  <c r="R62" i="20"/>
  <c r="AJ62" i="20" s="1"/>
  <c r="Q62" i="20"/>
  <c r="AI62" i="20" s="1"/>
  <c r="P62" i="20"/>
  <c r="AH62" i="20" s="1"/>
  <c r="O62" i="20"/>
  <c r="X61" i="20"/>
  <c r="W61" i="20"/>
  <c r="V61" i="20"/>
  <c r="AN61" i="20" s="1"/>
  <c r="U61" i="20"/>
  <c r="AM61" i="20" s="1"/>
  <c r="T61" i="20"/>
  <c r="AL61" i="20" s="1"/>
  <c r="S61" i="20"/>
  <c r="Z61" i="20" s="1"/>
  <c r="R61" i="20"/>
  <c r="AJ61" i="20" s="1"/>
  <c r="Q61" i="20"/>
  <c r="AI61" i="20" s="1"/>
  <c r="P61" i="20"/>
  <c r="AH61" i="20" s="1"/>
  <c r="O61" i="20"/>
  <c r="AG61" i="20" s="1"/>
  <c r="AN60" i="20"/>
  <c r="AB60" i="20"/>
  <c r="X60" i="20"/>
  <c r="W60" i="20"/>
  <c r="AO60" i="20" s="1"/>
  <c r="V60" i="20"/>
  <c r="AA60" i="20" s="1"/>
  <c r="U60" i="20"/>
  <c r="AM60" i="20" s="1"/>
  <c r="T60" i="20"/>
  <c r="AL60" i="20" s="1"/>
  <c r="S60" i="20"/>
  <c r="AK60" i="20" s="1"/>
  <c r="R60" i="20"/>
  <c r="AJ60" i="20" s="1"/>
  <c r="Q60" i="20"/>
  <c r="AI60" i="20" s="1"/>
  <c r="P60" i="20"/>
  <c r="AH60" i="20" s="1"/>
  <c r="O60" i="20"/>
  <c r="Y60" i="20" s="1"/>
  <c r="AG59" i="20"/>
  <c r="X59" i="20"/>
  <c r="W59" i="20"/>
  <c r="AO59" i="20" s="1"/>
  <c r="V59" i="20"/>
  <c r="U59" i="20"/>
  <c r="AM59" i="20" s="1"/>
  <c r="T59" i="20"/>
  <c r="AL59" i="20" s="1"/>
  <c r="S59" i="20"/>
  <c r="AK59" i="20" s="1"/>
  <c r="R59" i="20"/>
  <c r="AJ59" i="20" s="1"/>
  <c r="Q59" i="20"/>
  <c r="AI59" i="20" s="1"/>
  <c r="P59" i="20"/>
  <c r="AH59" i="20" s="1"/>
  <c r="O59" i="20"/>
  <c r="X58" i="20"/>
  <c r="W58" i="20"/>
  <c r="AO58" i="20" s="1"/>
  <c r="V58" i="20"/>
  <c r="U58" i="20"/>
  <c r="T58" i="20"/>
  <c r="AV58" i="20" s="1"/>
  <c r="AL80" i="20" s="1"/>
  <c r="S58" i="20"/>
  <c r="R58" i="20"/>
  <c r="Q58" i="20"/>
  <c r="P58" i="20"/>
  <c r="AR58" i="20" s="1"/>
  <c r="AH80" i="20" s="1"/>
  <c r="O58" i="20"/>
  <c r="AG58" i="20" s="1"/>
  <c r="X57" i="20"/>
  <c r="W57" i="20"/>
  <c r="AO57" i="20" s="1"/>
  <c r="V57" i="20"/>
  <c r="AN57" i="20" s="1"/>
  <c r="U57" i="20"/>
  <c r="AM57" i="20" s="1"/>
  <c r="T57" i="20"/>
  <c r="AL57" i="20" s="1"/>
  <c r="S57" i="20"/>
  <c r="R57" i="20"/>
  <c r="AJ57" i="20" s="1"/>
  <c r="Q57" i="20"/>
  <c r="AI57" i="20" s="1"/>
  <c r="P57" i="20"/>
  <c r="AH57" i="20" s="1"/>
  <c r="O57" i="20"/>
  <c r="AG57" i="20" s="1"/>
  <c r="AO56" i="20"/>
  <c r="AG56" i="20"/>
  <c r="X56" i="20"/>
  <c r="W56" i="20"/>
  <c r="V56" i="20"/>
  <c r="AA56" i="20" s="1"/>
  <c r="U56" i="20"/>
  <c r="AM56" i="20" s="1"/>
  <c r="T56" i="20"/>
  <c r="AL56" i="20" s="1"/>
  <c r="S56" i="20"/>
  <c r="AK56" i="20" s="1"/>
  <c r="R56" i="20"/>
  <c r="AJ56" i="20" s="1"/>
  <c r="Q56" i="20"/>
  <c r="AI56" i="20" s="1"/>
  <c r="P56" i="20"/>
  <c r="AH56" i="20" s="1"/>
  <c r="O56" i="20"/>
  <c r="AI55" i="20"/>
  <c r="AH55" i="20"/>
  <c r="X55" i="20"/>
  <c r="W55" i="20"/>
  <c r="AO55" i="20" s="1"/>
  <c r="V55" i="20"/>
  <c r="AA55" i="20" s="1"/>
  <c r="U55" i="20"/>
  <c r="AM55" i="20" s="1"/>
  <c r="T55" i="20"/>
  <c r="AL55" i="20" s="1"/>
  <c r="S55" i="20"/>
  <c r="AK55" i="20" s="1"/>
  <c r="R55" i="20"/>
  <c r="AJ55" i="20" s="1"/>
  <c r="Q55" i="20"/>
  <c r="P55" i="20"/>
  <c r="O55" i="20"/>
  <c r="X54" i="20"/>
  <c r="W54" i="20"/>
  <c r="AY54" i="20" s="1"/>
  <c r="AO79" i="20" s="1"/>
  <c r="V54" i="20"/>
  <c r="AA54" i="20" s="1"/>
  <c r="U54" i="20"/>
  <c r="T54" i="20"/>
  <c r="AV54" i="20" s="1"/>
  <c r="S54" i="20"/>
  <c r="AK54" i="20" s="1"/>
  <c r="R54" i="20"/>
  <c r="AJ54" i="20" s="1"/>
  <c r="Q54" i="20"/>
  <c r="AS54" i="20" s="1"/>
  <c r="AI79" i="20" s="1"/>
  <c r="P54" i="20"/>
  <c r="AH54" i="20" s="1"/>
  <c r="O54" i="20"/>
  <c r="AQ54" i="20" s="1"/>
  <c r="X53" i="20"/>
  <c r="W53" i="20"/>
  <c r="AO53" i="20" s="1"/>
  <c r="V53" i="20"/>
  <c r="AA53" i="20" s="1"/>
  <c r="U53" i="20"/>
  <c r="AM53" i="20" s="1"/>
  <c r="T53" i="20"/>
  <c r="AL53" i="20" s="1"/>
  <c r="S53" i="20"/>
  <c r="AK53" i="20" s="1"/>
  <c r="R53" i="20"/>
  <c r="AJ53" i="20" s="1"/>
  <c r="Q53" i="20"/>
  <c r="AI53" i="20" s="1"/>
  <c r="P53" i="20"/>
  <c r="AH53" i="20" s="1"/>
  <c r="O53" i="20"/>
  <c r="AH52" i="20"/>
  <c r="X52" i="20"/>
  <c r="W52" i="20"/>
  <c r="AO52" i="20" s="1"/>
  <c r="V52" i="20"/>
  <c r="U52" i="20"/>
  <c r="AM52" i="20" s="1"/>
  <c r="T52" i="20"/>
  <c r="AL52" i="20" s="1"/>
  <c r="S52" i="20"/>
  <c r="AK52" i="20" s="1"/>
  <c r="R52" i="20"/>
  <c r="AJ52" i="20" s="1"/>
  <c r="Q52" i="20"/>
  <c r="AI52" i="20" s="1"/>
  <c r="P52" i="20"/>
  <c r="O52" i="20"/>
  <c r="AJ51" i="20"/>
  <c r="X51" i="20"/>
  <c r="W51" i="20"/>
  <c r="V51" i="20"/>
  <c r="AN51" i="20" s="1"/>
  <c r="U51" i="20"/>
  <c r="AM51" i="20" s="1"/>
  <c r="T51" i="20"/>
  <c r="AL51" i="20" s="1"/>
  <c r="S51" i="20"/>
  <c r="AK51" i="20" s="1"/>
  <c r="R51" i="20"/>
  <c r="Q51" i="20"/>
  <c r="AI51" i="20" s="1"/>
  <c r="P51" i="20"/>
  <c r="AH51" i="20" s="1"/>
  <c r="O51" i="20"/>
  <c r="X50" i="20"/>
  <c r="W50" i="20"/>
  <c r="V50" i="20"/>
  <c r="U50" i="20"/>
  <c r="T50" i="20"/>
  <c r="S50" i="20"/>
  <c r="R50" i="20"/>
  <c r="Q50" i="20"/>
  <c r="AI50" i="20" s="1"/>
  <c r="P50" i="20"/>
  <c r="O50" i="20"/>
  <c r="AJ49" i="20"/>
  <c r="X49" i="20"/>
  <c r="W49" i="20"/>
  <c r="AO49" i="20" s="1"/>
  <c r="V49" i="20"/>
  <c r="AN49" i="20" s="1"/>
  <c r="U49" i="20"/>
  <c r="AM49" i="20" s="1"/>
  <c r="T49" i="20"/>
  <c r="AL49" i="20" s="1"/>
  <c r="S49" i="20"/>
  <c r="AK49" i="20" s="1"/>
  <c r="R49" i="20"/>
  <c r="Q49" i="20"/>
  <c r="AI49" i="20" s="1"/>
  <c r="P49" i="20"/>
  <c r="AH49" i="20" s="1"/>
  <c r="O49" i="20"/>
  <c r="AH48" i="20"/>
  <c r="X48" i="20"/>
  <c r="W48" i="20"/>
  <c r="AO48" i="20" s="1"/>
  <c r="V48" i="20"/>
  <c r="U48" i="20"/>
  <c r="AM48" i="20" s="1"/>
  <c r="T48" i="20"/>
  <c r="AL48" i="20" s="1"/>
  <c r="S48" i="20"/>
  <c r="AK48" i="20" s="1"/>
  <c r="R48" i="20"/>
  <c r="AJ48" i="20" s="1"/>
  <c r="Q48" i="20"/>
  <c r="AI48" i="20" s="1"/>
  <c r="P48" i="20"/>
  <c r="O48" i="20"/>
  <c r="Z47" i="20"/>
  <c r="X47" i="20"/>
  <c r="W47" i="20"/>
  <c r="AO47" i="20" s="1"/>
  <c r="V47" i="20"/>
  <c r="AN47" i="20" s="1"/>
  <c r="U47" i="20"/>
  <c r="AM47" i="20" s="1"/>
  <c r="T47" i="20"/>
  <c r="AL47" i="20" s="1"/>
  <c r="S47" i="20"/>
  <c r="AK47" i="20" s="1"/>
  <c r="R47" i="20"/>
  <c r="AJ47" i="20" s="1"/>
  <c r="Q47" i="20"/>
  <c r="AI47" i="20" s="1"/>
  <c r="P47" i="20"/>
  <c r="AH47" i="20" s="1"/>
  <c r="O47" i="20"/>
  <c r="AG47" i="20" s="1"/>
  <c r="AN46" i="20"/>
  <c r="AM46" i="20"/>
  <c r="X46" i="20"/>
  <c r="W46" i="20"/>
  <c r="V46" i="20"/>
  <c r="U46" i="20"/>
  <c r="T46" i="20"/>
  <c r="AL46" i="20" s="1"/>
  <c r="S46" i="20"/>
  <c r="AU46" i="20" s="1"/>
  <c r="R46" i="20"/>
  <c r="AJ46" i="20" s="1"/>
  <c r="Q46" i="20"/>
  <c r="P46" i="20"/>
  <c r="O46" i="20"/>
  <c r="AB46" i="20" s="1"/>
  <c r="AO45" i="20"/>
  <c r="AH45" i="20"/>
  <c r="X45" i="20"/>
  <c r="W45" i="20"/>
  <c r="V45" i="20"/>
  <c r="U45" i="20"/>
  <c r="AM45" i="20" s="1"/>
  <c r="T45" i="20"/>
  <c r="AL45" i="20" s="1"/>
  <c r="S45" i="20"/>
  <c r="AK45" i="20" s="1"/>
  <c r="R45" i="20"/>
  <c r="AJ45" i="20" s="1"/>
  <c r="Q45" i="20"/>
  <c r="AI45" i="20" s="1"/>
  <c r="P45" i="20"/>
  <c r="O45" i="20"/>
  <c r="AJ44" i="20"/>
  <c r="X44" i="20"/>
  <c r="W44" i="20"/>
  <c r="AO44" i="20" s="1"/>
  <c r="V44" i="20"/>
  <c r="AN44" i="20" s="1"/>
  <c r="U44" i="20"/>
  <c r="AM44" i="20" s="1"/>
  <c r="T44" i="20"/>
  <c r="AL44" i="20" s="1"/>
  <c r="S44" i="20"/>
  <c r="AK44" i="20" s="1"/>
  <c r="R44" i="20"/>
  <c r="Q44" i="20"/>
  <c r="P44" i="20"/>
  <c r="AH44" i="20" s="1"/>
  <c r="O44" i="20"/>
  <c r="AL43" i="20"/>
  <c r="X43" i="20"/>
  <c r="W43" i="20"/>
  <c r="AO43" i="20" s="1"/>
  <c r="V43" i="20"/>
  <c r="U43" i="20"/>
  <c r="T43" i="20"/>
  <c r="S43" i="20"/>
  <c r="AK43" i="20" s="1"/>
  <c r="R43" i="20"/>
  <c r="AJ43" i="20" s="1"/>
  <c r="Q43" i="20"/>
  <c r="AI43" i="20" s="1"/>
  <c r="P43" i="20"/>
  <c r="AH43" i="20" s="1"/>
  <c r="O43" i="20"/>
  <c r="AG43" i="20" s="1"/>
  <c r="AG42" i="20"/>
  <c r="X42" i="20"/>
  <c r="W42" i="20"/>
  <c r="V42" i="20"/>
  <c r="U42" i="20"/>
  <c r="AM42" i="20" s="1"/>
  <c r="T42" i="20"/>
  <c r="S42" i="20"/>
  <c r="AK42" i="20" s="1"/>
  <c r="R42" i="20"/>
  <c r="Q42" i="20"/>
  <c r="P42" i="20"/>
  <c r="O42" i="20"/>
  <c r="AH41" i="20"/>
  <c r="X41" i="20"/>
  <c r="W41" i="20"/>
  <c r="AO41" i="20" s="1"/>
  <c r="V41" i="20"/>
  <c r="AA41" i="20" s="1"/>
  <c r="U41" i="20"/>
  <c r="AM41" i="20" s="1"/>
  <c r="T41" i="20"/>
  <c r="AL41" i="20" s="1"/>
  <c r="S41" i="20"/>
  <c r="AK41" i="20" s="1"/>
  <c r="R41" i="20"/>
  <c r="AJ41" i="20" s="1"/>
  <c r="Q41" i="20"/>
  <c r="AI41" i="20" s="1"/>
  <c r="P41" i="20"/>
  <c r="O41" i="20"/>
  <c r="X40" i="20"/>
  <c r="W40" i="20"/>
  <c r="AO40" i="20" s="1"/>
  <c r="V40" i="20"/>
  <c r="AN40" i="20" s="1"/>
  <c r="U40" i="20"/>
  <c r="AM40" i="20" s="1"/>
  <c r="T40" i="20"/>
  <c r="AL40" i="20" s="1"/>
  <c r="S40" i="20"/>
  <c r="R40" i="20"/>
  <c r="AJ40" i="20" s="1"/>
  <c r="Q40" i="20"/>
  <c r="AI40" i="20" s="1"/>
  <c r="P40" i="20"/>
  <c r="AH40" i="20" s="1"/>
  <c r="O40" i="20"/>
  <c r="AG40" i="20" s="1"/>
  <c r="AA39" i="20"/>
  <c r="X39" i="20"/>
  <c r="W39" i="20"/>
  <c r="AO39" i="20" s="1"/>
  <c r="V39" i="20"/>
  <c r="AN39" i="20" s="1"/>
  <c r="U39" i="20"/>
  <c r="AM39" i="20" s="1"/>
  <c r="T39" i="20"/>
  <c r="AL39" i="20" s="1"/>
  <c r="S39" i="20"/>
  <c r="R39" i="20"/>
  <c r="AJ39" i="20" s="1"/>
  <c r="Q39" i="20"/>
  <c r="AI39" i="20" s="1"/>
  <c r="P39" i="20"/>
  <c r="AH39" i="20" s="1"/>
  <c r="O39" i="20"/>
  <c r="AG39" i="20" s="1"/>
  <c r="AH38" i="20"/>
  <c r="AG38" i="20"/>
  <c r="X38" i="20"/>
  <c r="W38" i="20"/>
  <c r="V38" i="20"/>
  <c r="U38" i="20"/>
  <c r="AW38" i="20" s="1"/>
  <c r="AM75" i="20" s="1"/>
  <c r="T38" i="20"/>
  <c r="AL38" i="20" s="1"/>
  <c r="S38" i="20"/>
  <c r="R38" i="20"/>
  <c r="Q38" i="20"/>
  <c r="P38" i="20"/>
  <c r="O38" i="20"/>
  <c r="AI37" i="20"/>
  <c r="X37" i="20"/>
  <c r="AO37" i="20"/>
  <c r="AN37" i="20"/>
  <c r="AM37" i="20"/>
  <c r="AL37" i="20"/>
  <c r="AK37" i="20"/>
  <c r="AJ37" i="20"/>
  <c r="AH37" i="20"/>
  <c r="X36" i="20"/>
  <c r="AO36" i="20"/>
  <c r="AN36" i="20"/>
  <c r="AM36" i="20"/>
  <c r="AL36" i="20"/>
  <c r="AK36" i="20"/>
  <c r="AJ36" i="20"/>
  <c r="AI36" i="20"/>
  <c r="AH36" i="20"/>
  <c r="AG36" i="20"/>
  <c r="X35" i="20"/>
  <c r="AO35" i="20"/>
  <c r="AN35" i="20"/>
  <c r="AM35" i="20"/>
  <c r="AL35" i="20"/>
  <c r="AK35" i="20"/>
  <c r="AJ35" i="20"/>
  <c r="AI35" i="20"/>
  <c r="AH35" i="20"/>
  <c r="AH34" i="20"/>
  <c r="X34" i="20"/>
  <c r="AO34" i="20"/>
  <c r="AM34" i="20"/>
  <c r="AT34" i="20"/>
  <c r="AJ74" i="20" s="1"/>
  <c r="AS34" i="20"/>
  <c r="AI74" i="20" s="1"/>
  <c r="X33" i="20"/>
  <c r="AO33" i="20"/>
  <c r="AN33" i="20"/>
  <c r="AM33" i="20"/>
  <c r="AL33" i="20"/>
  <c r="AK33" i="20"/>
  <c r="AJ33" i="20"/>
  <c r="AI33" i="20"/>
  <c r="AH33" i="20"/>
  <c r="AG33" i="20"/>
  <c r="X32" i="20"/>
  <c r="AO32" i="20"/>
  <c r="AM32" i="20"/>
  <c r="AL32" i="20"/>
  <c r="AJ32" i="20"/>
  <c r="AI32" i="20"/>
  <c r="AH32" i="20"/>
  <c r="AG32" i="20"/>
  <c r="X31" i="20"/>
  <c r="AO31" i="20"/>
  <c r="AM31" i="20"/>
  <c r="AL31" i="20"/>
  <c r="AK31" i="20"/>
  <c r="AJ31" i="20"/>
  <c r="AI31" i="20"/>
  <c r="AH31" i="20"/>
  <c r="Y31" i="20"/>
  <c r="X30" i="20"/>
  <c r="AY30" i="20"/>
  <c r="AO73" i="20" s="1"/>
  <c r="AN30" i="20"/>
  <c r="AU30" i="20"/>
  <c r="AH30" i="20"/>
  <c r="X29" i="20"/>
  <c r="AO29" i="20"/>
  <c r="AN29" i="20"/>
  <c r="AM29" i="20"/>
  <c r="AL29" i="20"/>
  <c r="AK29" i="20"/>
  <c r="AJ29" i="20"/>
  <c r="AI29" i="20"/>
  <c r="AH29" i="20"/>
  <c r="AG29" i="20"/>
  <c r="AM28" i="20"/>
  <c r="X28" i="20"/>
  <c r="AO28" i="20"/>
  <c r="AN28" i="20"/>
  <c r="AL28" i="20"/>
  <c r="AK28" i="20"/>
  <c r="AJ28" i="20"/>
  <c r="AI28" i="20"/>
  <c r="AH28" i="20"/>
  <c r="AO27" i="20"/>
  <c r="X27" i="20"/>
  <c r="AM27" i="20"/>
  <c r="AL27" i="20"/>
  <c r="AK27" i="20"/>
  <c r="AJ27" i="20"/>
  <c r="AI27" i="20"/>
  <c r="AH27" i="20"/>
  <c r="AS26" i="20"/>
  <c r="X26" i="20"/>
  <c r="AO26" i="20"/>
  <c r="AW26" i="20"/>
  <c r="AM72" i="20" s="1"/>
  <c r="AT26" i="20"/>
  <c r="AI26" i="20"/>
  <c r="AG26" i="20"/>
  <c r="X25" i="20"/>
  <c r="AO25" i="20"/>
  <c r="AN25" i="20"/>
  <c r="AM25" i="20"/>
  <c r="AL25" i="20"/>
  <c r="AJ25" i="20"/>
  <c r="AI25" i="20"/>
  <c r="AH25" i="20"/>
  <c r="AG25" i="20"/>
  <c r="AN24" i="20"/>
  <c r="X24" i="20"/>
  <c r="AO24" i="20"/>
  <c r="AA24" i="20"/>
  <c r="AM24" i="20"/>
  <c r="AL24" i="20"/>
  <c r="AK24" i="20"/>
  <c r="AJ24" i="20"/>
  <c r="AI24" i="20"/>
  <c r="AH24" i="20"/>
  <c r="AH23" i="20"/>
  <c r="X23" i="20"/>
  <c r="AO23" i="20"/>
  <c r="AM23" i="20"/>
  <c r="AL23" i="20"/>
  <c r="AJ23" i="20"/>
  <c r="AI23" i="20"/>
  <c r="AM22" i="20"/>
  <c r="X22" i="20"/>
  <c r="AY22" i="20"/>
  <c r="AO71" i="20" s="1"/>
  <c r="AJ22" i="20"/>
  <c r="AR22" i="20"/>
  <c r="Y22" i="20"/>
  <c r="X21" i="20"/>
  <c r="AO21" i="20"/>
  <c r="AN21" i="20"/>
  <c r="AM21" i="20"/>
  <c r="AL21" i="20"/>
  <c r="AK21" i="20"/>
  <c r="AJ21" i="20"/>
  <c r="AH21" i="20"/>
  <c r="AG21" i="20"/>
  <c r="AG20" i="20"/>
  <c r="X20" i="20"/>
  <c r="AO20" i="20"/>
  <c r="AN20" i="20"/>
  <c r="AM20" i="20"/>
  <c r="AL20" i="20"/>
  <c r="AK20" i="20"/>
  <c r="AJ20" i="20"/>
  <c r="AI20" i="20"/>
  <c r="AH20" i="20"/>
  <c r="X19" i="20"/>
  <c r="AO19" i="20"/>
  <c r="AM19" i="20"/>
  <c r="AL19" i="20"/>
  <c r="AK19" i="20"/>
  <c r="AJ19" i="20"/>
  <c r="AI19" i="20"/>
  <c r="AH19" i="20"/>
  <c r="AG19" i="20"/>
  <c r="X18" i="20"/>
  <c r="AY18" i="20"/>
  <c r="AO70" i="20" s="1"/>
  <c r="AK18" i="20"/>
  <c r="AT18" i="20"/>
  <c r="AJ70" i="20" s="1"/>
  <c r="X17" i="20"/>
  <c r="AO17" i="20"/>
  <c r="AM17" i="20"/>
  <c r="AL17" i="20"/>
  <c r="AK17" i="20"/>
  <c r="AI17" i="20"/>
  <c r="AH17" i="20"/>
  <c r="AM16" i="20"/>
  <c r="AH16" i="20"/>
  <c r="X16" i="20"/>
  <c r="AO16" i="20"/>
  <c r="AN16" i="20"/>
  <c r="AL16" i="20"/>
  <c r="AK16" i="20"/>
  <c r="AJ16" i="20"/>
  <c r="AI16" i="20"/>
  <c r="AG16" i="20"/>
  <c r="X15" i="20"/>
  <c r="AO15" i="20"/>
  <c r="AN15" i="20"/>
  <c r="AM15" i="20"/>
  <c r="AL15" i="20"/>
  <c r="AK15" i="20"/>
  <c r="AJ15" i="20"/>
  <c r="AI15" i="20"/>
  <c r="AH15" i="20"/>
  <c r="AG15" i="20"/>
  <c r="AA14" i="20"/>
  <c r="X14" i="20"/>
  <c r="AL14" i="20"/>
  <c r="AJ14" i="20"/>
  <c r="AR14" i="20"/>
  <c r="AH69" i="20" s="1"/>
  <c r="AL13" i="20"/>
  <c r="X13" i="20"/>
  <c r="AO13" i="20"/>
  <c r="AN13" i="20"/>
  <c r="AM13" i="20"/>
  <c r="AK13" i="20"/>
  <c r="AJ13" i="20"/>
  <c r="AI13" i="20"/>
  <c r="AH13" i="20"/>
  <c r="X12" i="20"/>
  <c r="AO12" i="20"/>
  <c r="AA12" i="20"/>
  <c r="AM12" i="20"/>
  <c r="AL12" i="20"/>
  <c r="AK12" i="20"/>
  <c r="AJ12" i="20"/>
  <c r="AI12" i="20"/>
  <c r="AH12" i="20"/>
  <c r="AG12" i="20"/>
  <c r="AK11" i="20"/>
  <c r="X11" i="20"/>
  <c r="AO11" i="20"/>
  <c r="AN11" i="20"/>
  <c r="AM11" i="20"/>
  <c r="AL11" i="20"/>
  <c r="AJ11" i="20"/>
  <c r="AI11" i="20"/>
  <c r="AH11" i="20"/>
  <c r="Y11" i="20"/>
  <c r="X10" i="20"/>
  <c r="AM10" i="20"/>
  <c r="AV10" i="20"/>
  <c r="AU10" i="20"/>
  <c r="Y10" i="20"/>
  <c r="B10" i="20"/>
  <c r="A11" i="20" s="1"/>
  <c r="B11" i="20" s="1"/>
  <c r="A12" i="20" s="1"/>
  <c r="B12" i="20" s="1"/>
  <c r="A13" i="20" s="1"/>
  <c r="B13" i="20" s="1"/>
  <c r="A14" i="20" s="1"/>
  <c r="B14" i="20" s="1"/>
  <c r="A15" i="20" s="1"/>
  <c r="B15" i="20" s="1"/>
  <c r="A16" i="20" s="1"/>
  <c r="B16" i="20" s="1"/>
  <c r="A17" i="20" s="1"/>
  <c r="B17" i="20" s="1"/>
  <c r="A18" i="20" s="1"/>
  <c r="B18" i="20" s="1"/>
  <c r="A19" i="20" s="1"/>
  <c r="B19" i="20" s="1"/>
  <c r="A20" i="20" s="1"/>
  <c r="B20" i="20" s="1"/>
  <c r="A21" i="20" s="1"/>
  <c r="B21" i="20" s="1"/>
  <c r="A22" i="20" s="1"/>
  <c r="B22" i="20" s="1"/>
  <c r="A23" i="20" s="1"/>
  <c r="B23" i="20" s="1"/>
  <c r="A24" i="20" s="1"/>
  <c r="B24" i="20" s="1"/>
  <c r="A25" i="20" s="1"/>
  <c r="B25" i="20" s="1"/>
  <c r="A26" i="20" s="1"/>
  <c r="B26" i="20" s="1"/>
  <c r="A27" i="20" s="1"/>
  <c r="B27" i="20" s="1"/>
  <c r="A28" i="20" s="1"/>
  <c r="B28" i="20" s="1"/>
  <c r="A29" i="20" s="1"/>
  <c r="B29" i="20" s="1"/>
  <c r="A30" i="20" s="1"/>
  <c r="B30" i="20" s="1"/>
  <c r="A31" i="20" s="1"/>
  <c r="B31" i="20" s="1"/>
  <c r="A32" i="20" s="1"/>
  <c r="B32" i="20" s="1"/>
  <c r="A33" i="20" s="1"/>
  <c r="B33" i="20" s="1"/>
  <c r="A34" i="20" s="1"/>
  <c r="B34" i="20" s="1"/>
  <c r="A35" i="20" s="1"/>
  <c r="B35" i="20" s="1"/>
  <c r="A36" i="20" s="1"/>
  <c r="B36" i="20" s="1"/>
  <c r="A37" i="20" s="1"/>
  <c r="B37" i="20" s="1"/>
  <c r="A38" i="20" s="1"/>
  <c r="B38" i="20" s="1"/>
  <c r="A39" i="20" s="1"/>
  <c r="B39" i="20" s="1"/>
  <c r="A40" i="20" s="1"/>
  <c r="B40" i="20" s="1"/>
  <c r="A41" i="20" s="1"/>
  <c r="B41" i="20" s="1"/>
  <c r="A42" i="20" s="1"/>
  <c r="B42" i="20" s="1"/>
  <c r="A43" i="20" s="1"/>
  <c r="B43" i="20" s="1"/>
  <c r="A44" i="20" s="1"/>
  <c r="B44" i="20" s="1"/>
  <c r="A45" i="20" s="1"/>
  <c r="B45" i="20" s="1"/>
  <c r="A46" i="20" s="1"/>
  <c r="B46" i="20" s="1"/>
  <c r="A47" i="20" s="1"/>
  <c r="B47" i="20" s="1"/>
  <c r="A48" i="20" s="1"/>
  <c r="B48" i="20" s="1"/>
  <c r="A49" i="20" s="1"/>
  <c r="B49" i="20" s="1"/>
  <c r="A50" i="20" s="1"/>
  <c r="B50" i="20" s="1"/>
  <c r="A51" i="20" s="1"/>
  <c r="B51" i="20" s="1"/>
  <c r="A52" i="20" s="1"/>
  <c r="B52" i="20" s="1"/>
  <c r="A53" i="20" s="1"/>
  <c r="B53" i="20" s="1"/>
  <c r="A54" i="20" s="1"/>
  <c r="B54" i="20" s="1"/>
  <c r="A55" i="20" s="1"/>
  <c r="B55" i="20" s="1"/>
  <c r="A56" i="20" s="1"/>
  <c r="B56" i="20" s="1"/>
  <c r="A57" i="20" s="1"/>
  <c r="B57" i="20" s="1"/>
  <c r="A58" i="20" s="1"/>
  <c r="B58" i="20" s="1"/>
  <c r="A59" i="20" s="1"/>
  <c r="B59" i="20" s="1"/>
  <c r="A60" i="20" s="1"/>
  <c r="B60" i="20" s="1"/>
  <c r="A61" i="20" s="1"/>
  <c r="B61" i="20" s="1"/>
  <c r="A62" i="20" s="1"/>
  <c r="B62" i="20" s="1"/>
  <c r="A63" i="20" s="1"/>
  <c r="B63" i="20" s="1"/>
  <c r="A64" i="20" s="1"/>
  <c r="B64" i="20" s="1"/>
  <c r="A65" i="20" s="1"/>
  <c r="B65" i="20" s="1"/>
  <c r="X7" i="20"/>
  <c r="W7" i="20"/>
  <c r="V7" i="20"/>
  <c r="U7" i="20"/>
  <c r="T7" i="20"/>
  <c r="S7" i="20"/>
  <c r="R7" i="20"/>
  <c r="Q7" i="20"/>
  <c r="P7" i="20"/>
  <c r="O7" i="20"/>
  <c r="Z82" i="19"/>
  <c r="AO82" i="19"/>
  <c r="AN82" i="19"/>
  <c r="AM82" i="19"/>
  <c r="AL82" i="19"/>
  <c r="AK82" i="19"/>
  <c r="AJ82" i="19"/>
  <c r="AH82" i="19"/>
  <c r="AG82" i="19"/>
  <c r="AK65" i="19"/>
  <c r="AH65" i="19"/>
  <c r="X65" i="19"/>
  <c r="W65" i="19"/>
  <c r="AO65" i="19" s="1"/>
  <c r="V65" i="19"/>
  <c r="AN65" i="19" s="1"/>
  <c r="U65" i="19"/>
  <c r="T65" i="19"/>
  <c r="AL65" i="19" s="1"/>
  <c r="S65" i="19"/>
  <c r="R65" i="19"/>
  <c r="AJ65" i="19" s="1"/>
  <c r="Q65" i="19"/>
  <c r="AI65" i="19" s="1"/>
  <c r="P65" i="19"/>
  <c r="O65" i="19"/>
  <c r="AN64" i="19"/>
  <c r="AM64" i="19"/>
  <c r="X64" i="19"/>
  <c r="W64" i="19"/>
  <c r="AO64" i="19" s="1"/>
  <c r="V64" i="19"/>
  <c r="U64" i="19"/>
  <c r="T64" i="19"/>
  <c r="AL64" i="19" s="1"/>
  <c r="S64" i="19"/>
  <c r="AK64" i="19" s="1"/>
  <c r="R64" i="19"/>
  <c r="AJ64" i="19" s="1"/>
  <c r="Q64" i="19"/>
  <c r="AI64" i="19" s="1"/>
  <c r="P64" i="19"/>
  <c r="AH64" i="19" s="1"/>
  <c r="O64" i="19"/>
  <c r="AG64" i="19" s="1"/>
  <c r="AO63" i="19"/>
  <c r="AH63" i="19"/>
  <c r="AG63" i="19"/>
  <c r="AA63" i="19"/>
  <c r="X63" i="19"/>
  <c r="W63" i="19"/>
  <c r="V63" i="19"/>
  <c r="AN63" i="19" s="1"/>
  <c r="U63" i="19"/>
  <c r="AM63" i="19" s="1"/>
  <c r="T63" i="19"/>
  <c r="AL63" i="19" s="1"/>
  <c r="S63" i="19"/>
  <c r="R63" i="19"/>
  <c r="AJ63" i="19" s="1"/>
  <c r="Q63" i="19"/>
  <c r="P63" i="19"/>
  <c r="O63" i="19"/>
  <c r="AB63" i="19" s="1"/>
  <c r="AO62" i="19"/>
  <c r="AK62" i="19"/>
  <c r="X62" i="19"/>
  <c r="W62" i="19"/>
  <c r="V62" i="19"/>
  <c r="U62" i="19"/>
  <c r="AW62" i="19" s="1"/>
  <c r="AM81" i="19" s="1"/>
  <c r="T62" i="19"/>
  <c r="AV62" i="19" s="1"/>
  <c r="AL81" i="19" s="1"/>
  <c r="S62" i="19"/>
  <c r="R62" i="19"/>
  <c r="Q62" i="19"/>
  <c r="P62" i="19"/>
  <c r="O62" i="19"/>
  <c r="X61" i="19"/>
  <c r="W61" i="19"/>
  <c r="AO61" i="19" s="1"/>
  <c r="V61" i="19"/>
  <c r="U61" i="19"/>
  <c r="AM61" i="19" s="1"/>
  <c r="T61" i="19"/>
  <c r="AL61" i="19" s="1"/>
  <c r="S61" i="19"/>
  <c r="AK61" i="19" s="1"/>
  <c r="R61" i="19"/>
  <c r="AJ61" i="19" s="1"/>
  <c r="Q61" i="19"/>
  <c r="AI61" i="19" s="1"/>
  <c r="P61" i="19"/>
  <c r="AH61" i="19" s="1"/>
  <c r="O61" i="19"/>
  <c r="AG61" i="19" s="1"/>
  <c r="AO60" i="19"/>
  <c r="AG60" i="19"/>
  <c r="Z60" i="19"/>
  <c r="X60" i="19"/>
  <c r="W60" i="19"/>
  <c r="V60" i="19"/>
  <c r="U60" i="19"/>
  <c r="AM60" i="19" s="1"/>
  <c r="T60" i="19"/>
  <c r="AL60" i="19" s="1"/>
  <c r="S60" i="19"/>
  <c r="AK60" i="19" s="1"/>
  <c r="R60" i="19"/>
  <c r="AJ60" i="19" s="1"/>
  <c r="Q60" i="19"/>
  <c r="P60" i="19"/>
  <c r="AH60" i="19" s="1"/>
  <c r="O60" i="19"/>
  <c r="AM59" i="19"/>
  <c r="AI59" i="19"/>
  <c r="AH59" i="19"/>
  <c r="X59" i="19"/>
  <c r="W59" i="19"/>
  <c r="V59" i="19"/>
  <c r="AN59" i="19" s="1"/>
  <c r="U59" i="19"/>
  <c r="T59" i="19"/>
  <c r="AL59" i="19" s="1"/>
  <c r="S59" i="19"/>
  <c r="AK59" i="19" s="1"/>
  <c r="R59" i="19"/>
  <c r="AJ59" i="19" s="1"/>
  <c r="Q59" i="19"/>
  <c r="P59" i="19"/>
  <c r="O59" i="19"/>
  <c r="Y59" i="19" s="1"/>
  <c r="AQ58" i="19"/>
  <c r="AL58" i="19"/>
  <c r="AH58" i="19"/>
  <c r="Z58" i="19"/>
  <c r="X58" i="19"/>
  <c r="W58" i="19"/>
  <c r="AO58" i="19" s="1"/>
  <c r="V58" i="19"/>
  <c r="U58" i="19"/>
  <c r="T58" i="19"/>
  <c r="S58" i="19"/>
  <c r="AK58" i="19" s="1"/>
  <c r="R58" i="19"/>
  <c r="AT58" i="19" s="1"/>
  <c r="AJ80" i="19" s="1"/>
  <c r="Q58" i="19"/>
  <c r="AS58" i="19" s="1"/>
  <c r="AI80" i="19" s="1"/>
  <c r="P58" i="19"/>
  <c r="O58" i="19"/>
  <c r="AN57" i="19"/>
  <c r="AM57" i="19"/>
  <c r="X57" i="19"/>
  <c r="W57" i="19"/>
  <c r="AO57" i="19" s="1"/>
  <c r="V57" i="19"/>
  <c r="U57" i="19"/>
  <c r="T57" i="19"/>
  <c r="AL57" i="19" s="1"/>
  <c r="S57" i="19"/>
  <c r="AK57" i="19" s="1"/>
  <c r="R57" i="19"/>
  <c r="AJ57" i="19" s="1"/>
  <c r="Q57" i="19"/>
  <c r="P57" i="19"/>
  <c r="AH57" i="19" s="1"/>
  <c r="O57" i="19"/>
  <c r="AG57" i="19" s="1"/>
  <c r="AO56" i="19"/>
  <c r="AL56" i="19"/>
  <c r="X56" i="19"/>
  <c r="W56" i="19"/>
  <c r="V56" i="19"/>
  <c r="U56" i="19"/>
  <c r="AM56" i="19" s="1"/>
  <c r="T56" i="19"/>
  <c r="S56" i="19"/>
  <c r="R56" i="19"/>
  <c r="AJ56" i="19" s="1"/>
  <c r="Q56" i="19"/>
  <c r="Y56" i="19" s="1"/>
  <c r="P56" i="19"/>
  <c r="AH56" i="19" s="1"/>
  <c r="O56" i="19"/>
  <c r="AG56" i="19" s="1"/>
  <c r="X55" i="19"/>
  <c r="W55" i="19"/>
  <c r="AA55" i="19" s="1"/>
  <c r="V55" i="19"/>
  <c r="AN55" i="19" s="1"/>
  <c r="U55" i="19"/>
  <c r="AM55" i="19" s="1"/>
  <c r="T55" i="19"/>
  <c r="AL55" i="19" s="1"/>
  <c r="S55" i="19"/>
  <c r="AK55" i="19" s="1"/>
  <c r="R55" i="19"/>
  <c r="AJ55" i="19" s="1"/>
  <c r="Q55" i="19"/>
  <c r="AI55" i="19" s="1"/>
  <c r="P55" i="19"/>
  <c r="O55" i="19"/>
  <c r="AA54" i="19"/>
  <c r="X54" i="19"/>
  <c r="W54" i="19"/>
  <c r="V54" i="19"/>
  <c r="U54" i="19"/>
  <c r="T54" i="19"/>
  <c r="S54" i="19"/>
  <c r="R54" i="19"/>
  <c r="Q54" i="19"/>
  <c r="AI54" i="19" s="1"/>
  <c r="P54" i="19"/>
  <c r="O54" i="19"/>
  <c r="AN53" i="19"/>
  <c r="AK53" i="19"/>
  <c r="X53" i="19"/>
  <c r="W53" i="19"/>
  <c r="AO53" i="19" s="1"/>
  <c r="V53" i="19"/>
  <c r="AA53" i="19" s="1"/>
  <c r="U53" i="19"/>
  <c r="AM53" i="19" s="1"/>
  <c r="T53" i="19"/>
  <c r="AL53" i="19" s="1"/>
  <c r="S53" i="19"/>
  <c r="R53" i="19"/>
  <c r="AJ53" i="19" s="1"/>
  <c r="Q53" i="19"/>
  <c r="AI53" i="19" s="1"/>
  <c r="P53" i="19"/>
  <c r="AH53" i="19" s="1"/>
  <c r="O53" i="19"/>
  <c r="AG53" i="19" s="1"/>
  <c r="AM52" i="19"/>
  <c r="AI52" i="19"/>
  <c r="AH52" i="19"/>
  <c r="AA52" i="19"/>
  <c r="X52" i="19"/>
  <c r="W52" i="19"/>
  <c r="AO52" i="19" s="1"/>
  <c r="V52" i="19"/>
  <c r="AN52" i="19" s="1"/>
  <c r="U52" i="19"/>
  <c r="T52" i="19"/>
  <c r="AL52" i="19" s="1"/>
  <c r="S52" i="19"/>
  <c r="R52" i="19"/>
  <c r="AJ52" i="19" s="1"/>
  <c r="Q52" i="19"/>
  <c r="P52" i="19"/>
  <c r="O52" i="19"/>
  <c r="AO51" i="19"/>
  <c r="AK51" i="19"/>
  <c r="X51" i="19"/>
  <c r="W51" i="19"/>
  <c r="V51" i="19"/>
  <c r="U51" i="19"/>
  <c r="AM51" i="19" s="1"/>
  <c r="T51" i="19"/>
  <c r="AL51" i="19" s="1"/>
  <c r="S51" i="19"/>
  <c r="AU50" i="19" s="1"/>
  <c r="R51" i="19"/>
  <c r="AJ51" i="19" s="1"/>
  <c r="Q51" i="19"/>
  <c r="AI51" i="19" s="1"/>
  <c r="P51" i="19"/>
  <c r="O51" i="19"/>
  <c r="AG51" i="19" s="1"/>
  <c r="AL50" i="19"/>
  <c r="AJ50" i="19"/>
  <c r="AI50" i="19"/>
  <c r="X50" i="19"/>
  <c r="W50" i="19"/>
  <c r="V50" i="19"/>
  <c r="U50" i="19"/>
  <c r="T50" i="19"/>
  <c r="S50" i="19"/>
  <c r="R50" i="19"/>
  <c r="Q50" i="19"/>
  <c r="AS50" i="19" s="1"/>
  <c r="P50" i="19"/>
  <c r="O50" i="19"/>
  <c r="AL49" i="19"/>
  <c r="AI49" i="19"/>
  <c r="X49" i="19"/>
  <c r="W49" i="19"/>
  <c r="AO49" i="19" s="1"/>
  <c r="V49" i="19"/>
  <c r="U49" i="19"/>
  <c r="AM49" i="19" s="1"/>
  <c r="T49" i="19"/>
  <c r="S49" i="19"/>
  <c r="AK49" i="19" s="1"/>
  <c r="R49" i="19"/>
  <c r="AJ49" i="19" s="1"/>
  <c r="Q49" i="19"/>
  <c r="P49" i="19"/>
  <c r="AH49" i="19" s="1"/>
  <c r="O49" i="19"/>
  <c r="AK48" i="19"/>
  <c r="X48" i="19"/>
  <c r="W48" i="19"/>
  <c r="AO48" i="19" s="1"/>
  <c r="V48" i="19"/>
  <c r="AN48" i="19" s="1"/>
  <c r="U48" i="19"/>
  <c r="AM48" i="19" s="1"/>
  <c r="T48" i="19"/>
  <c r="AL48" i="19" s="1"/>
  <c r="S48" i="19"/>
  <c r="R48" i="19"/>
  <c r="AJ48" i="19" s="1"/>
  <c r="Q48" i="19"/>
  <c r="P48" i="19"/>
  <c r="AH48" i="19" s="1"/>
  <c r="O48" i="19"/>
  <c r="AM47" i="19"/>
  <c r="AH47" i="19"/>
  <c r="AA47" i="19"/>
  <c r="X47" i="19"/>
  <c r="W47" i="19"/>
  <c r="AO47" i="19" s="1"/>
  <c r="V47" i="19"/>
  <c r="AN47" i="19" s="1"/>
  <c r="U47" i="19"/>
  <c r="T47" i="19"/>
  <c r="AL47" i="19" s="1"/>
  <c r="S47" i="19"/>
  <c r="R47" i="19"/>
  <c r="AJ47" i="19" s="1"/>
  <c r="Q47" i="19"/>
  <c r="AI47" i="19" s="1"/>
  <c r="P47" i="19"/>
  <c r="O47" i="19"/>
  <c r="AG47" i="19" s="1"/>
  <c r="AM46" i="19"/>
  <c r="AH46" i="19"/>
  <c r="X46" i="19"/>
  <c r="W46" i="19"/>
  <c r="AO46" i="19" s="1"/>
  <c r="V46" i="19"/>
  <c r="AN46" i="19" s="1"/>
  <c r="U46" i="19"/>
  <c r="T46" i="19"/>
  <c r="AL46" i="19" s="1"/>
  <c r="S46" i="19"/>
  <c r="AK46" i="19" s="1"/>
  <c r="R46" i="19"/>
  <c r="AJ46" i="19" s="1"/>
  <c r="Q46" i="19"/>
  <c r="P46" i="19"/>
  <c r="O46" i="19"/>
  <c r="AO45" i="19"/>
  <c r="X45" i="19"/>
  <c r="W45" i="19"/>
  <c r="V45" i="19"/>
  <c r="U45" i="19"/>
  <c r="AM45" i="19" s="1"/>
  <c r="T45" i="19"/>
  <c r="AL45" i="19" s="1"/>
  <c r="S45" i="19"/>
  <c r="AK45" i="19" s="1"/>
  <c r="R45" i="19"/>
  <c r="AJ45" i="19" s="1"/>
  <c r="Q45" i="19"/>
  <c r="P45" i="19"/>
  <c r="O45" i="19"/>
  <c r="AG45" i="19" s="1"/>
  <c r="AK44" i="19"/>
  <c r="AG44" i="19"/>
  <c r="X44" i="19"/>
  <c r="W44" i="19"/>
  <c r="AO44" i="19" s="1"/>
  <c r="V44" i="19"/>
  <c r="AN44" i="19" s="1"/>
  <c r="U44" i="19"/>
  <c r="AM44" i="19" s="1"/>
  <c r="T44" i="19"/>
  <c r="AL44" i="19" s="1"/>
  <c r="S44" i="19"/>
  <c r="R44" i="19"/>
  <c r="AJ44" i="19" s="1"/>
  <c r="Q44" i="19"/>
  <c r="Y44" i="19" s="1"/>
  <c r="P44" i="19"/>
  <c r="AH44" i="19" s="1"/>
  <c r="O44" i="19"/>
  <c r="AM43" i="19"/>
  <c r="AI43" i="19"/>
  <c r="X43" i="19"/>
  <c r="W43" i="19"/>
  <c r="AO43" i="19" s="1"/>
  <c r="V43" i="19"/>
  <c r="AA43" i="19" s="1"/>
  <c r="U43" i="19"/>
  <c r="T43" i="19"/>
  <c r="AL43" i="19" s="1"/>
  <c r="S43" i="19"/>
  <c r="R43" i="19"/>
  <c r="AJ43" i="19" s="1"/>
  <c r="Q43" i="19"/>
  <c r="P43" i="19"/>
  <c r="AH43" i="19" s="1"/>
  <c r="O43" i="19"/>
  <c r="AG43" i="19" s="1"/>
  <c r="AI42" i="19"/>
  <c r="X42" i="19"/>
  <c r="W42" i="19"/>
  <c r="AO42" i="19" s="1"/>
  <c r="V42" i="19"/>
  <c r="AN42" i="19" s="1"/>
  <c r="U42" i="19"/>
  <c r="T42" i="19"/>
  <c r="AL42" i="19" s="1"/>
  <c r="S42" i="19"/>
  <c r="R42" i="19"/>
  <c r="Q42" i="19"/>
  <c r="AS42" i="19" s="1"/>
  <c r="AI76" i="19" s="1"/>
  <c r="P42" i="19"/>
  <c r="AH42" i="19" s="1"/>
  <c r="O42" i="19"/>
  <c r="AG42" i="19" s="1"/>
  <c r="X41" i="19"/>
  <c r="W41" i="19"/>
  <c r="AO41" i="19" s="1"/>
  <c r="V41" i="19"/>
  <c r="AN41" i="19" s="1"/>
  <c r="U41" i="19"/>
  <c r="AM41" i="19" s="1"/>
  <c r="T41" i="19"/>
  <c r="AL41" i="19" s="1"/>
  <c r="S41" i="19"/>
  <c r="AK41" i="19" s="1"/>
  <c r="R41" i="19"/>
  <c r="AJ41" i="19" s="1"/>
  <c r="Q41" i="19"/>
  <c r="AI41" i="19" s="1"/>
  <c r="P41" i="19"/>
  <c r="AH41" i="19" s="1"/>
  <c r="O41" i="19"/>
  <c r="AM40" i="19"/>
  <c r="X40" i="19"/>
  <c r="W40" i="19"/>
  <c r="AO40" i="19" s="1"/>
  <c r="V40" i="19"/>
  <c r="AN40" i="19" s="1"/>
  <c r="U40" i="19"/>
  <c r="T40" i="19"/>
  <c r="AL40" i="19" s="1"/>
  <c r="S40" i="19"/>
  <c r="Z40" i="19" s="1"/>
  <c r="R40" i="19"/>
  <c r="AJ40" i="19" s="1"/>
  <c r="Q40" i="19"/>
  <c r="AI40" i="19" s="1"/>
  <c r="P40" i="19"/>
  <c r="AH40" i="19" s="1"/>
  <c r="O40" i="19"/>
  <c r="AG40" i="19" s="1"/>
  <c r="AL39" i="19"/>
  <c r="AJ39" i="19"/>
  <c r="X39" i="19"/>
  <c r="W39" i="19"/>
  <c r="AO39" i="19" s="1"/>
  <c r="V39" i="19"/>
  <c r="U39" i="19"/>
  <c r="AM39" i="19" s="1"/>
  <c r="T39" i="19"/>
  <c r="S39" i="19"/>
  <c r="R39" i="19"/>
  <c r="Q39" i="19"/>
  <c r="AI39" i="19" s="1"/>
  <c r="P39" i="19"/>
  <c r="AH39" i="19" s="1"/>
  <c r="O39" i="19"/>
  <c r="AG39" i="19" s="1"/>
  <c r="X38" i="19"/>
  <c r="W38" i="19"/>
  <c r="AO38" i="19" s="1"/>
  <c r="V38" i="19"/>
  <c r="U38" i="19"/>
  <c r="AM38" i="19" s="1"/>
  <c r="T38" i="19"/>
  <c r="AL38" i="19" s="1"/>
  <c r="S38" i="19"/>
  <c r="R38" i="19"/>
  <c r="AJ38" i="19" s="1"/>
  <c r="Q38" i="19"/>
  <c r="AI38" i="19" s="1"/>
  <c r="P38" i="19"/>
  <c r="AH38" i="19" s="1"/>
  <c r="O38" i="19"/>
  <c r="AO37" i="19"/>
  <c r="AJ37" i="19"/>
  <c r="X37" i="19"/>
  <c r="W37" i="19"/>
  <c r="V37" i="19"/>
  <c r="AN37" i="19" s="1"/>
  <c r="U37" i="19"/>
  <c r="AM37" i="19" s="1"/>
  <c r="T37" i="19"/>
  <c r="AL37" i="19" s="1"/>
  <c r="S37" i="19"/>
  <c r="R37" i="19"/>
  <c r="AI37" i="19"/>
  <c r="AH37" i="19"/>
  <c r="AG37" i="19"/>
  <c r="X36" i="19"/>
  <c r="W36" i="19"/>
  <c r="AO36" i="19" s="1"/>
  <c r="V36" i="19"/>
  <c r="AA36" i="19" s="1"/>
  <c r="U36" i="19"/>
  <c r="Z36" i="19" s="1"/>
  <c r="T36" i="19"/>
  <c r="AL36" i="19" s="1"/>
  <c r="S36" i="19"/>
  <c r="AK36" i="19" s="1"/>
  <c r="R36" i="19"/>
  <c r="AJ36" i="19" s="1"/>
  <c r="AI36" i="19"/>
  <c r="AH36" i="19"/>
  <c r="AG36" i="19"/>
  <c r="X35" i="19"/>
  <c r="W35" i="19"/>
  <c r="AO35" i="19" s="1"/>
  <c r="V35" i="19"/>
  <c r="U35" i="19"/>
  <c r="AM35" i="19" s="1"/>
  <c r="T35" i="19"/>
  <c r="AL35" i="19" s="1"/>
  <c r="S35" i="19"/>
  <c r="AK35" i="19" s="1"/>
  <c r="R35" i="19"/>
  <c r="AJ35" i="19" s="1"/>
  <c r="AI35" i="19"/>
  <c r="AH35" i="19"/>
  <c r="Y35" i="19"/>
  <c r="AK34" i="19"/>
  <c r="AJ34" i="19"/>
  <c r="AI34" i="19"/>
  <c r="X34" i="19"/>
  <c r="W34" i="19"/>
  <c r="AO34" i="19" s="1"/>
  <c r="V34" i="19"/>
  <c r="AN34" i="19" s="1"/>
  <c r="AM34" i="19"/>
  <c r="T34" i="19"/>
  <c r="S34" i="19"/>
  <c r="R34" i="19"/>
  <c r="AS34" i="19"/>
  <c r="AI74" i="19" s="1"/>
  <c r="AH34" i="19"/>
  <c r="AQ34" i="19"/>
  <c r="AM33" i="19"/>
  <c r="AH33" i="19"/>
  <c r="X33" i="19"/>
  <c r="W33" i="19"/>
  <c r="AO33" i="19" s="1"/>
  <c r="V33" i="19"/>
  <c r="AN33" i="19" s="1"/>
  <c r="T33" i="19"/>
  <c r="AL33" i="19" s="1"/>
  <c r="S33" i="19"/>
  <c r="AK33" i="19" s="1"/>
  <c r="R33" i="19"/>
  <c r="AJ33" i="19" s="1"/>
  <c r="AI33" i="19"/>
  <c r="AG33" i="19"/>
  <c r="AM32" i="19"/>
  <c r="AL32" i="19"/>
  <c r="AJ32" i="19"/>
  <c r="X32" i="19"/>
  <c r="W32" i="19"/>
  <c r="AO32" i="19" s="1"/>
  <c r="V32" i="19"/>
  <c r="T32" i="19"/>
  <c r="S32" i="19"/>
  <c r="R32" i="19"/>
  <c r="AI32" i="19"/>
  <c r="AH32" i="19"/>
  <c r="AG32" i="19"/>
  <c r="X31" i="19"/>
  <c r="W31" i="19"/>
  <c r="AN31" i="19"/>
  <c r="AM31" i="19"/>
  <c r="T31" i="19"/>
  <c r="AL31" i="19" s="1"/>
  <c r="S31" i="19"/>
  <c r="R31" i="19"/>
  <c r="AJ31" i="19" s="1"/>
  <c r="AI31" i="19"/>
  <c r="AH31" i="19"/>
  <c r="AG30" i="19"/>
  <c r="X30" i="19"/>
  <c r="W30" i="19"/>
  <c r="AO30" i="19" s="1"/>
  <c r="AN30" i="19"/>
  <c r="T30" i="19"/>
  <c r="AL30" i="19" s="1"/>
  <c r="S30" i="19"/>
  <c r="AU30" i="19" s="1"/>
  <c r="R30" i="19"/>
  <c r="AT30" i="19" s="1"/>
  <c r="AJ73" i="19" s="1"/>
  <c r="AI30" i="19"/>
  <c r="AH30" i="19"/>
  <c r="AL29" i="19"/>
  <c r="AI29" i="19"/>
  <c r="X29" i="19"/>
  <c r="W29" i="19"/>
  <c r="AO29" i="19" s="1"/>
  <c r="Z29" i="19"/>
  <c r="T29" i="19"/>
  <c r="S29" i="19"/>
  <c r="AK29" i="19" s="1"/>
  <c r="R29" i="19"/>
  <c r="AJ29" i="19" s="1"/>
  <c r="AH29" i="19"/>
  <c r="AG29" i="19"/>
  <c r="AO28" i="19"/>
  <c r="AK28" i="19"/>
  <c r="AG28" i="19"/>
  <c r="Z28" i="19"/>
  <c r="X28" i="19"/>
  <c r="W28" i="19"/>
  <c r="AA28" i="19"/>
  <c r="AM28" i="19"/>
  <c r="T28" i="19"/>
  <c r="AL28" i="19" s="1"/>
  <c r="S28" i="19"/>
  <c r="R28" i="19"/>
  <c r="AJ28" i="19" s="1"/>
  <c r="AI28" i="19"/>
  <c r="AH28" i="19"/>
  <c r="AO27" i="19"/>
  <c r="AJ27" i="19"/>
  <c r="X27" i="19"/>
  <c r="W27" i="19"/>
  <c r="AM27" i="19"/>
  <c r="T27" i="19"/>
  <c r="AL27" i="19" s="1"/>
  <c r="S27" i="19"/>
  <c r="AK27" i="19" s="1"/>
  <c r="R27" i="19"/>
  <c r="AH27" i="19"/>
  <c r="X26" i="19"/>
  <c r="W26" i="19"/>
  <c r="AO26" i="19" s="1"/>
  <c r="AM26" i="19"/>
  <c r="T26" i="19"/>
  <c r="AL26" i="19" s="1"/>
  <c r="S26" i="19"/>
  <c r="R26" i="19"/>
  <c r="AI26" i="19"/>
  <c r="AH26" i="19"/>
  <c r="AG26" i="19"/>
  <c r="AL25" i="19"/>
  <c r="AJ25" i="19"/>
  <c r="X25" i="19"/>
  <c r="W25" i="19"/>
  <c r="AO25" i="19" s="1"/>
  <c r="AA25" i="19"/>
  <c r="AM25" i="19"/>
  <c r="T25" i="19"/>
  <c r="S25" i="19"/>
  <c r="R25" i="19"/>
  <c r="AI25" i="19"/>
  <c r="AH25" i="19"/>
  <c r="AG25" i="19"/>
  <c r="AN24" i="19"/>
  <c r="AL24" i="19"/>
  <c r="X24" i="19"/>
  <c r="W24" i="19"/>
  <c r="AA24" i="19" s="1"/>
  <c r="U24" i="19"/>
  <c r="AM24" i="19" s="1"/>
  <c r="T24" i="19"/>
  <c r="S24" i="19"/>
  <c r="R24" i="19"/>
  <c r="AJ24" i="19" s="1"/>
  <c r="AI24" i="19"/>
  <c r="AH24" i="19"/>
  <c r="AK23" i="19"/>
  <c r="AI23" i="19"/>
  <c r="X23" i="19"/>
  <c r="W23" i="19"/>
  <c r="AO23" i="19" s="1"/>
  <c r="V23" i="19"/>
  <c r="AN23" i="19" s="1"/>
  <c r="U23" i="19"/>
  <c r="AM23" i="19" s="1"/>
  <c r="T23" i="19"/>
  <c r="AL23" i="19" s="1"/>
  <c r="S23" i="19"/>
  <c r="R23" i="19"/>
  <c r="AJ23" i="19" s="1"/>
  <c r="AH23" i="19"/>
  <c r="Y23" i="19"/>
  <c r="AU22" i="19"/>
  <c r="Z22" i="19"/>
  <c r="X22" i="19"/>
  <c r="W22" i="19"/>
  <c r="V22" i="19"/>
  <c r="U22" i="19"/>
  <c r="AM22" i="19" s="1"/>
  <c r="T22" i="19"/>
  <c r="AL22" i="19" s="1"/>
  <c r="S22" i="19"/>
  <c r="AK22" i="19" s="1"/>
  <c r="R22" i="19"/>
  <c r="AJ22" i="19" s="1"/>
  <c r="AI22" i="19"/>
  <c r="AH22" i="19"/>
  <c r="AK21" i="19"/>
  <c r="AH21" i="19"/>
  <c r="X21" i="19"/>
  <c r="W21" i="19"/>
  <c r="AO21" i="19" s="1"/>
  <c r="V21" i="19"/>
  <c r="U21" i="19"/>
  <c r="AW18" i="19" s="1"/>
  <c r="AM70" i="19" s="1"/>
  <c r="T21" i="19"/>
  <c r="AL21" i="19" s="1"/>
  <c r="S21" i="19"/>
  <c r="R21" i="19"/>
  <c r="AJ21" i="19" s="1"/>
  <c r="AI21" i="19"/>
  <c r="AG21" i="19"/>
  <c r="AM20" i="19"/>
  <c r="X20" i="19"/>
  <c r="W20" i="19"/>
  <c r="AO20" i="19" s="1"/>
  <c r="V20" i="19"/>
  <c r="U20" i="19"/>
  <c r="T20" i="19"/>
  <c r="AL20" i="19" s="1"/>
  <c r="S20" i="19"/>
  <c r="AK20" i="19" s="1"/>
  <c r="R20" i="19"/>
  <c r="AJ20" i="19" s="1"/>
  <c r="AI20" i="19"/>
  <c r="AH20" i="19"/>
  <c r="AG20" i="19"/>
  <c r="AJ19" i="19"/>
  <c r="AI19" i="19"/>
  <c r="AH19" i="19"/>
  <c r="X19" i="19"/>
  <c r="W19" i="19"/>
  <c r="AO19" i="19" s="1"/>
  <c r="AN19" i="19"/>
  <c r="U19" i="19"/>
  <c r="AM19" i="19" s="1"/>
  <c r="T19" i="19"/>
  <c r="AL19" i="19" s="1"/>
  <c r="S19" i="19"/>
  <c r="R19" i="19"/>
  <c r="AB19" i="19"/>
  <c r="X18" i="19"/>
  <c r="W18" i="19"/>
  <c r="AO18" i="19" s="1"/>
  <c r="V18" i="19"/>
  <c r="AM18" i="19"/>
  <c r="T18" i="19"/>
  <c r="AL18" i="19" s="1"/>
  <c r="S18" i="19"/>
  <c r="Z18" i="19" s="1"/>
  <c r="R18" i="19"/>
  <c r="AJ18" i="19" s="1"/>
  <c r="AI18" i="19"/>
  <c r="AG18" i="19"/>
  <c r="X17" i="19"/>
  <c r="W17" i="19"/>
  <c r="AO17" i="19" s="1"/>
  <c r="V17" i="19"/>
  <c r="AN17" i="19" s="1"/>
  <c r="U17" i="19"/>
  <c r="AM17" i="19" s="1"/>
  <c r="T17" i="19"/>
  <c r="AL17" i="19" s="1"/>
  <c r="S17" i="19"/>
  <c r="AK17" i="19" s="1"/>
  <c r="R17" i="19"/>
  <c r="AJ17" i="19" s="1"/>
  <c r="AH17" i="19"/>
  <c r="AG17" i="19"/>
  <c r="X16" i="19"/>
  <c r="W16" i="19"/>
  <c r="AO16" i="19" s="1"/>
  <c r="AN16" i="19"/>
  <c r="AM16" i="19"/>
  <c r="T16" i="19"/>
  <c r="AL16" i="19" s="1"/>
  <c r="S16" i="19"/>
  <c r="AK16" i="19" s="1"/>
  <c r="R16" i="19"/>
  <c r="AJ16" i="19" s="1"/>
  <c r="AI16" i="19"/>
  <c r="AH16" i="19"/>
  <c r="AG16" i="19"/>
  <c r="X15" i="19"/>
  <c r="W15" i="19"/>
  <c r="AO15" i="19" s="1"/>
  <c r="AN15" i="19"/>
  <c r="AM15" i="19"/>
  <c r="T15" i="19"/>
  <c r="AL15" i="19" s="1"/>
  <c r="S15" i="19"/>
  <c r="AK15" i="19" s="1"/>
  <c r="R15" i="19"/>
  <c r="AJ15" i="19" s="1"/>
  <c r="AI15" i="19"/>
  <c r="AH15" i="19"/>
  <c r="AI14" i="19"/>
  <c r="AA14" i="19"/>
  <c r="X14" i="19"/>
  <c r="W14" i="19"/>
  <c r="AM14" i="19"/>
  <c r="T14" i="19"/>
  <c r="S14" i="19"/>
  <c r="R14" i="19"/>
  <c r="AS14" i="19"/>
  <c r="AI69" i="19" s="1"/>
  <c r="AR14" i="19"/>
  <c r="AH69" i="19" s="1"/>
  <c r="AK13" i="19"/>
  <c r="AH13" i="19"/>
  <c r="X13" i="19"/>
  <c r="W13" i="19"/>
  <c r="AO13" i="19" s="1"/>
  <c r="AN13" i="19"/>
  <c r="AM13" i="19"/>
  <c r="T13" i="19"/>
  <c r="AL13" i="19" s="1"/>
  <c r="S13" i="19"/>
  <c r="R13" i="19"/>
  <c r="AJ13" i="19" s="1"/>
  <c r="AI13" i="19"/>
  <c r="AG13" i="19"/>
  <c r="AJ12" i="19"/>
  <c r="X12" i="19"/>
  <c r="W12" i="19"/>
  <c r="AO12" i="19" s="1"/>
  <c r="AN12" i="19"/>
  <c r="AM12" i="19"/>
  <c r="T12" i="19"/>
  <c r="AL12" i="19" s="1"/>
  <c r="S12" i="19"/>
  <c r="AK12" i="19" s="1"/>
  <c r="R12" i="19"/>
  <c r="AI12" i="19"/>
  <c r="AH12" i="19"/>
  <c r="AG12" i="19"/>
  <c r="AL11" i="19"/>
  <c r="X11" i="19"/>
  <c r="W11" i="19"/>
  <c r="AO11" i="19" s="1"/>
  <c r="AM11" i="19"/>
  <c r="T11" i="19"/>
  <c r="S11" i="19"/>
  <c r="AK11" i="19" s="1"/>
  <c r="R11" i="19"/>
  <c r="AJ11" i="19" s="1"/>
  <c r="AH11" i="19"/>
  <c r="AG11" i="19"/>
  <c r="AG10" i="19"/>
  <c r="X10" i="19"/>
  <c r="W10" i="19"/>
  <c r="AN10" i="19"/>
  <c r="T10" i="19"/>
  <c r="S10" i="19"/>
  <c r="R10" i="19"/>
  <c r="AT10" i="19" s="1"/>
  <c r="AS10" i="19"/>
  <c r="AR10" i="19"/>
  <c r="B10" i="19"/>
  <c r="A11" i="19" s="1"/>
  <c r="B11" i="19" s="1"/>
  <c r="A12" i="19" s="1"/>
  <c r="B12" i="19" s="1"/>
  <c r="A13" i="19" s="1"/>
  <c r="B13" i="19" s="1"/>
  <c r="A14" i="19" s="1"/>
  <c r="B14" i="19" s="1"/>
  <c r="A15" i="19" s="1"/>
  <c r="B15" i="19" s="1"/>
  <c r="A16" i="19" s="1"/>
  <c r="B16" i="19" s="1"/>
  <c r="A17" i="19" s="1"/>
  <c r="B17" i="19" s="1"/>
  <c r="A18" i="19" s="1"/>
  <c r="B18" i="19" s="1"/>
  <c r="A19" i="19" s="1"/>
  <c r="B19" i="19" s="1"/>
  <c r="A20" i="19" s="1"/>
  <c r="B20" i="19" s="1"/>
  <c r="A21" i="19" s="1"/>
  <c r="B21" i="19" s="1"/>
  <c r="A22" i="19" s="1"/>
  <c r="B22" i="19" s="1"/>
  <c r="A23" i="19" s="1"/>
  <c r="B23" i="19" s="1"/>
  <c r="A24" i="19" s="1"/>
  <c r="B24" i="19" s="1"/>
  <c r="A25" i="19" s="1"/>
  <c r="B25" i="19" s="1"/>
  <c r="A26" i="19" s="1"/>
  <c r="B26" i="19" s="1"/>
  <c r="A27" i="19" s="1"/>
  <c r="B27" i="19" s="1"/>
  <c r="A28" i="19" s="1"/>
  <c r="B28" i="19" s="1"/>
  <c r="A29" i="19" s="1"/>
  <c r="B29" i="19" s="1"/>
  <c r="A30" i="19" s="1"/>
  <c r="B30" i="19" s="1"/>
  <c r="A31" i="19" s="1"/>
  <c r="B31" i="19" s="1"/>
  <c r="A32" i="19" s="1"/>
  <c r="B32" i="19" s="1"/>
  <c r="A33" i="19" s="1"/>
  <c r="B33" i="19" s="1"/>
  <c r="A34" i="19" s="1"/>
  <c r="B34" i="19" s="1"/>
  <c r="A35" i="19" s="1"/>
  <c r="B35" i="19" s="1"/>
  <c r="A36" i="19" s="1"/>
  <c r="B36" i="19" s="1"/>
  <c r="A37" i="19" s="1"/>
  <c r="B37" i="19" s="1"/>
  <c r="A38" i="19" s="1"/>
  <c r="B38" i="19" s="1"/>
  <c r="A39" i="19" s="1"/>
  <c r="B39" i="19" s="1"/>
  <c r="A40" i="19" s="1"/>
  <c r="B40" i="19" s="1"/>
  <c r="A41" i="19" s="1"/>
  <c r="B41" i="19" s="1"/>
  <c r="A42" i="19" s="1"/>
  <c r="B42" i="19" s="1"/>
  <c r="A43" i="19" s="1"/>
  <c r="B43" i="19" s="1"/>
  <c r="A44" i="19" s="1"/>
  <c r="B44" i="19" s="1"/>
  <c r="A45" i="19" s="1"/>
  <c r="B45" i="19" s="1"/>
  <c r="A46" i="19" s="1"/>
  <c r="B46" i="19" s="1"/>
  <c r="A47" i="19" s="1"/>
  <c r="B47" i="19" s="1"/>
  <c r="A48" i="19" s="1"/>
  <c r="B48" i="19" s="1"/>
  <c r="A49" i="19" s="1"/>
  <c r="B49" i="19" s="1"/>
  <c r="A50" i="19" s="1"/>
  <c r="B50" i="19" s="1"/>
  <c r="A51" i="19" s="1"/>
  <c r="B51" i="19" s="1"/>
  <c r="A52" i="19" s="1"/>
  <c r="B52" i="19" s="1"/>
  <c r="A53" i="19" s="1"/>
  <c r="B53" i="19" s="1"/>
  <c r="A54" i="19" s="1"/>
  <c r="B54" i="19" s="1"/>
  <c r="A55" i="19" s="1"/>
  <c r="B55" i="19" s="1"/>
  <c r="A56" i="19" s="1"/>
  <c r="B56" i="19" s="1"/>
  <c r="A57" i="19" s="1"/>
  <c r="B57" i="19" s="1"/>
  <c r="A58" i="19" s="1"/>
  <c r="B58" i="19" s="1"/>
  <c r="A59" i="19" s="1"/>
  <c r="B59" i="19" s="1"/>
  <c r="A60" i="19" s="1"/>
  <c r="B60" i="19" s="1"/>
  <c r="A61" i="19" s="1"/>
  <c r="B61" i="19" s="1"/>
  <c r="A62" i="19" s="1"/>
  <c r="B62" i="19" s="1"/>
  <c r="A63" i="19" s="1"/>
  <c r="B63" i="19" s="1"/>
  <c r="A64" i="19" s="1"/>
  <c r="B64" i="19" s="1"/>
  <c r="A65" i="19" s="1"/>
  <c r="B65" i="19" s="1"/>
  <c r="X7" i="19"/>
  <c r="W7" i="19"/>
  <c r="V7" i="19"/>
  <c r="U7" i="19"/>
  <c r="T7" i="19"/>
  <c r="S7" i="19"/>
  <c r="R7" i="19"/>
  <c r="Q7" i="19"/>
  <c r="P7" i="19"/>
  <c r="O7" i="19"/>
  <c r="X10" i="15"/>
  <c r="AA10" i="15"/>
  <c r="X65" i="15"/>
  <c r="W65" i="15"/>
  <c r="V65" i="15"/>
  <c r="U65" i="15"/>
  <c r="T65" i="15"/>
  <c r="S65" i="15"/>
  <c r="R65" i="15"/>
  <c r="Q65" i="15"/>
  <c r="P65" i="15"/>
  <c r="O65" i="15"/>
  <c r="X64" i="15"/>
  <c r="W64" i="15"/>
  <c r="V64" i="15"/>
  <c r="U64" i="15"/>
  <c r="T64" i="15"/>
  <c r="S64" i="15"/>
  <c r="R64" i="15"/>
  <c r="Q64" i="15"/>
  <c r="P64" i="15"/>
  <c r="O64" i="15"/>
  <c r="X63" i="15"/>
  <c r="W63" i="15"/>
  <c r="V63" i="15"/>
  <c r="U63" i="15"/>
  <c r="T63" i="15"/>
  <c r="S63" i="15"/>
  <c r="R63" i="15"/>
  <c r="Q63" i="15"/>
  <c r="P63" i="15"/>
  <c r="O63" i="15"/>
  <c r="X62" i="15"/>
  <c r="W62" i="15"/>
  <c r="V62" i="15"/>
  <c r="U62" i="15"/>
  <c r="T62" i="15"/>
  <c r="S62" i="15"/>
  <c r="R62" i="15"/>
  <c r="Q62" i="15"/>
  <c r="P62" i="15"/>
  <c r="O62" i="15"/>
  <c r="X61" i="15"/>
  <c r="W61" i="15"/>
  <c r="V61" i="15"/>
  <c r="U61" i="15"/>
  <c r="T61" i="15"/>
  <c r="S61" i="15"/>
  <c r="R61" i="15"/>
  <c r="Q61" i="15"/>
  <c r="P61" i="15"/>
  <c r="O61" i="15"/>
  <c r="X60" i="15"/>
  <c r="W60" i="15"/>
  <c r="V60" i="15"/>
  <c r="U60" i="15"/>
  <c r="T60" i="15"/>
  <c r="S60" i="15"/>
  <c r="R60" i="15"/>
  <c r="Q60" i="15"/>
  <c r="P60" i="15"/>
  <c r="O60" i="15"/>
  <c r="X59" i="15"/>
  <c r="W59" i="15"/>
  <c r="V59" i="15"/>
  <c r="U59" i="15"/>
  <c r="T59" i="15"/>
  <c r="S59" i="15"/>
  <c r="R59" i="15"/>
  <c r="Q59" i="15"/>
  <c r="P59" i="15"/>
  <c r="O59" i="15"/>
  <c r="X58" i="15"/>
  <c r="W58" i="15"/>
  <c r="V58" i="15"/>
  <c r="U58" i="15"/>
  <c r="T58" i="15"/>
  <c r="S58" i="15"/>
  <c r="R58" i="15"/>
  <c r="Q58" i="15"/>
  <c r="P58" i="15"/>
  <c r="O58" i="15"/>
  <c r="X57" i="15"/>
  <c r="W57" i="15"/>
  <c r="V57" i="15"/>
  <c r="U57" i="15"/>
  <c r="T57" i="15"/>
  <c r="S57" i="15"/>
  <c r="R57" i="15"/>
  <c r="Q57" i="15"/>
  <c r="P57" i="15"/>
  <c r="O57" i="15"/>
  <c r="X56" i="15"/>
  <c r="W56" i="15"/>
  <c r="V56" i="15"/>
  <c r="U56" i="15"/>
  <c r="T56" i="15"/>
  <c r="S56" i="15"/>
  <c r="R56" i="15"/>
  <c r="Q56" i="15"/>
  <c r="P56" i="15"/>
  <c r="O56" i="15"/>
  <c r="X55" i="15"/>
  <c r="W55" i="15"/>
  <c r="V55" i="15"/>
  <c r="U55" i="15"/>
  <c r="T55" i="15"/>
  <c r="S55" i="15"/>
  <c r="R55" i="15"/>
  <c r="Q55" i="15"/>
  <c r="P55" i="15"/>
  <c r="O55" i="15"/>
  <c r="X54" i="15"/>
  <c r="W54" i="15"/>
  <c r="V54" i="15"/>
  <c r="U54" i="15"/>
  <c r="T54" i="15"/>
  <c r="S54" i="15"/>
  <c r="R54" i="15"/>
  <c r="Q54" i="15"/>
  <c r="P54" i="15"/>
  <c r="O54" i="15"/>
  <c r="X53" i="15"/>
  <c r="W53" i="15"/>
  <c r="V53" i="15"/>
  <c r="U53" i="15"/>
  <c r="T53" i="15"/>
  <c r="S53" i="15"/>
  <c r="R53" i="15"/>
  <c r="Q53" i="15"/>
  <c r="P53" i="15"/>
  <c r="O53" i="15"/>
  <c r="X52" i="15"/>
  <c r="W52" i="15"/>
  <c r="V52" i="15"/>
  <c r="U52" i="15"/>
  <c r="T52" i="15"/>
  <c r="S52" i="15"/>
  <c r="R52" i="15"/>
  <c r="Q52" i="15"/>
  <c r="P52" i="15"/>
  <c r="O52" i="15"/>
  <c r="X51" i="15"/>
  <c r="W51" i="15"/>
  <c r="V51" i="15"/>
  <c r="U51" i="15"/>
  <c r="T51" i="15"/>
  <c r="S51" i="15"/>
  <c r="R51" i="15"/>
  <c r="Q51" i="15"/>
  <c r="P51" i="15"/>
  <c r="O51" i="15"/>
  <c r="X50" i="15"/>
  <c r="W50" i="15"/>
  <c r="V50" i="15"/>
  <c r="U50" i="15"/>
  <c r="T50" i="15"/>
  <c r="S50" i="15"/>
  <c r="R50" i="15"/>
  <c r="Q50" i="15"/>
  <c r="P50" i="15"/>
  <c r="O50" i="15"/>
  <c r="X49" i="15"/>
  <c r="W49" i="15"/>
  <c r="V49" i="15"/>
  <c r="U49" i="15"/>
  <c r="T49" i="15"/>
  <c r="S49" i="15"/>
  <c r="R49" i="15"/>
  <c r="Q49" i="15"/>
  <c r="P49" i="15"/>
  <c r="O49" i="15"/>
  <c r="X48" i="15"/>
  <c r="W48" i="15"/>
  <c r="V48" i="15"/>
  <c r="U48" i="15"/>
  <c r="T48" i="15"/>
  <c r="S48" i="15"/>
  <c r="R48" i="15"/>
  <c r="Q48" i="15"/>
  <c r="P48" i="15"/>
  <c r="O48" i="15"/>
  <c r="X47" i="15"/>
  <c r="W47" i="15"/>
  <c r="V47" i="15"/>
  <c r="U47" i="15"/>
  <c r="T47" i="15"/>
  <c r="S47" i="15"/>
  <c r="R47" i="15"/>
  <c r="Q47" i="15"/>
  <c r="P47" i="15"/>
  <c r="O47" i="15"/>
  <c r="X46" i="15"/>
  <c r="W46" i="15"/>
  <c r="V46" i="15"/>
  <c r="U46" i="15"/>
  <c r="T46" i="15"/>
  <c r="S46" i="15"/>
  <c r="R46" i="15"/>
  <c r="Q46" i="15"/>
  <c r="P46" i="15"/>
  <c r="O46" i="15"/>
  <c r="X45" i="15"/>
  <c r="W45" i="15"/>
  <c r="V45" i="15"/>
  <c r="U45" i="15"/>
  <c r="T45" i="15"/>
  <c r="S45" i="15"/>
  <c r="R45" i="15"/>
  <c r="Q45" i="15"/>
  <c r="P45" i="15"/>
  <c r="O45" i="15"/>
  <c r="X44" i="15"/>
  <c r="W44" i="15"/>
  <c r="V44" i="15"/>
  <c r="U44" i="15"/>
  <c r="T44" i="15"/>
  <c r="S44" i="15"/>
  <c r="R44" i="15"/>
  <c r="Q44" i="15"/>
  <c r="P44" i="15"/>
  <c r="O44" i="15"/>
  <c r="X43" i="15"/>
  <c r="W43" i="15"/>
  <c r="V43" i="15"/>
  <c r="U43" i="15"/>
  <c r="T43" i="15"/>
  <c r="S43" i="15"/>
  <c r="R43" i="15"/>
  <c r="Q43" i="15"/>
  <c r="P43" i="15"/>
  <c r="O43" i="15"/>
  <c r="X42" i="15"/>
  <c r="W42" i="15"/>
  <c r="V42" i="15"/>
  <c r="U42" i="15"/>
  <c r="T42" i="15"/>
  <c r="S42" i="15"/>
  <c r="R42" i="15"/>
  <c r="Q42" i="15"/>
  <c r="P42" i="15"/>
  <c r="O42" i="15"/>
  <c r="X41" i="15"/>
  <c r="W41" i="15"/>
  <c r="V41" i="15"/>
  <c r="U41" i="15"/>
  <c r="T41" i="15"/>
  <c r="S41" i="15"/>
  <c r="R41" i="15"/>
  <c r="Q41" i="15"/>
  <c r="P41" i="15"/>
  <c r="O41" i="15"/>
  <c r="X40" i="15"/>
  <c r="W40" i="15"/>
  <c r="V40" i="15"/>
  <c r="U40" i="15"/>
  <c r="T40" i="15"/>
  <c r="S40" i="15"/>
  <c r="R40" i="15"/>
  <c r="Q40" i="15"/>
  <c r="P40" i="15"/>
  <c r="O40" i="15"/>
  <c r="X39" i="15"/>
  <c r="W39" i="15"/>
  <c r="V39" i="15"/>
  <c r="U39" i="15"/>
  <c r="T39" i="15"/>
  <c r="S39" i="15"/>
  <c r="R39" i="15"/>
  <c r="Q39" i="15"/>
  <c r="P39" i="15"/>
  <c r="O39" i="15"/>
  <c r="X38" i="15"/>
  <c r="W38" i="15"/>
  <c r="V38" i="15"/>
  <c r="U38" i="15"/>
  <c r="T38" i="15"/>
  <c r="S38" i="15"/>
  <c r="R38" i="15"/>
  <c r="Q38" i="15"/>
  <c r="P38" i="15"/>
  <c r="O38" i="15"/>
  <c r="X37" i="15"/>
  <c r="X36" i="15"/>
  <c r="X35" i="15"/>
  <c r="X34" i="15"/>
  <c r="X33" i="15"/>
  <c r="X32" i="15"/>
  <c r="X31" i="15"/>
  <c r="X30" i="15"/>
  <c r="S30" i="15"/>
  <c r="X29" i="15"/>
  <c r="S29" i="15"/>
  <c r="X28" i="15"/>
  <c r="S28" i="15"/>
  <c r="X27" i="15"/>
  <c r="S27" i="15"/>
  <c r="X26" i="15"/>
  <c r="S26" i="15"/>
  <c r="X25" i="15"/>
  <c r="S25" i="15"/>
  <c r="X24" i="15"/>
  <c r="S24" i="15"/>
  <c r="X23" i="15"/>
  <c r="X22" i="15"/>
  <c r="X21" i="15"/>
  <c r="X20" i="15"/>
  <c r="X19" i="15"/>
  <c r="X18" i="15"/>
  <c r="X17" i="15"/>
  <c r="X16" i="15"/>
  <c r="X15" i="15"/>
  <c r="X14" i="15"/>
  <c r="X13" i="15"/>
  <c r="X12" i="15"/>
  <c r="X11" i="15"/>
  <c r="AJ78" i="23" l="1"/>
  <c r="AB82" i="22"/>
  <c r="AJ72" i="20"/>
  <c r="AH71" i="20"/>
  <c r="AL79" i="20"/>
  <c r="AI72" i="20"/>
  <c r="AI78" i="19"/>
  <c r="AN11" i="21"/>
  <c r="AA11" i="21"/>
  <c r="AU26" i="20"/>
  <c r="AM18" i="22"/>
  <c r="AW18" i="22"/>
  <c r="AM70" i="22" s="1"/>
  <c r="AV14" i="19"/>
  <c r="AL69" i="19" s="1"/>
  <c r="Z48" i="19"/>
  <c r="AC53" i="19"/>
  <c r="Z11" i="20"/>
  <c r="AW14" i="20"/>
  <c r="AM69" i="20" s="1"/>
  <c r="AM14" i="20"/>
  <c r="AU22" i="20"/>
  <c r="AK71" i="20" s="1"/>
  <c r="Z22" i="20"/>
  <c r="AW50" i="20"/>
  <c r="AM78" i="20" s="1"/>
  <c r="AK65" i="20"/>
  <c r="Z65" i="20"/>
  <c r="AA15" i="21"/>
  <c r="AR18" i="21"/>
  <c r="AH70" i="21" s="1"/>
  <c r="AH18" i="21"/>
  <c r="AN11" i="19"/>
  <c r="AA11" i="19"/>
  <c r="AX14" i="19"/>
  <c r="AA69" i="19" s="1"/>
  <c r="AN14" i="19"/>
  <c r="AW22" i="19"/>
  <c r="AM71" i="19" s="1"/>
  <c r="AA39" i="19"/>
  <c r="AV50" i="19"/>
  <c r="AL78" i="19" s="1"/>
  <c r="AX14" i="20"/>
  <c r="AV22" i="20"/>
  <c r="AL71" i="20" s="1"/>
  <c r="Z36" i="20"/>
  <c r="AX50" i="20"/>
  <c r="AO14" i="21"/>
  <c r="AS18" i="21"/>
  <c r="AI70" i="21" s="1"/>
  <c r="AR38" i="21"/>
  <c r="AH75" i="21" s="1"/>
  <c r="AH38" i="21"/>
  <c r="Z40" i="21"/>
  <c r="AA42" i="21"/>
  <c r="AN42" i="21"/>
  <c r="AK11" i="22"/>
  <c r="Z11" i="22"/>
  <c r="AB25" i="22"/>
  <c r="Y26" i="22"/>
  <c r="AT30" i="22"/>
  <c r="AJ73" i="22" s="1"/>
  <c r="AJ30" i="22"/>
  <c r="AR62" i="23"/>
  <c r="AH81" i="23" s="1"/>
  <c r="AC65" i="23"/>
  <c r="Y82" i="23"/>
  <c r="AB82" i="23"/>
  <c r="AM42" i="19"/>
  <c r="AW42" i="19"/>
  <c r="AM76" i="19" s="1"/>
  <c r="AK61" i="22"/>
  <c r="AC61" i="22" s="1"/>
  <c r="Z61" i="22"/>
  <c r="AU34" i="20"/>
  <c r="AO61" i="20"/>
  <c r="AA61" i="20"/>
  <c r="AO43" i="21"/>
  <c r="AA43" i="21"/>
  <c r="AY10" i="19"/>
  <c r="AO10" i="19"/>
  <c r="AN36" i="19"/>
  <c r="AB38" i="19"/>
  <c r="Z44" i="19"/>
  <c r="AX50" i="19"/>
  <c r="AN50" i="19"/>
  <c r="Z53" i="19"/>
  <c r="AN56" i="19"/>
  <c r="AA56" i="19"/>
  <c r="AN43" i="20"/>
  <c r="AC43" i="20" s="1"/>
  <c r="AA43" i="20"/>
  <c r="AN53" i="20"/>
  <c r="AL54" i="20"/>
  <c r="AB57" i="20"/>
  <c r="AR14" i="21"/>
  <c r="AH69" i="21" s="1"/>
  <c r="AI23" i="21"/>
  <c r="Y23" i="21"/>
  <c r="AT34" i="21"/>
  <c r="AJ74" i="21" s="1"/>
  <c r="AJ34" i="21"/>
  <c r="AM51" i="21"/>
  <c r="Z51" i="21"/>
  <c r="AV58" i="21"/>
  <c r="AL80" i="21" s="1"/>
  <c r="AL58" i="21"/>
  <c r="AU14" i="23"/>
  <c r="AK14" i="23"/>
  <c r="AQ10" i="22"/>
  <c r="AG10" i="22"/>
  <c r="AK35" i="23"/>
  <c r="AU34" i="23"/>
  <c r="Z35" i="23"/>
  <c r="AW30" i="19"/>
  <c r="AM73" i="19" s="1"/>
  <c r="AR10" i="20"/>
  <c r="AN29" i="19"/>
  <c r="AA29" i="19"/>
  <c r="AH53" i="23"/>
  <c r="AB53" i="23"/>
  <c r="Z15" i="19"/>
  <c r="Z19" i="19"/>
  <c r="AK19" i="19"/>
  <c r="Y27" i="19"/>
  <c r="AI27" i="19"/>
  <c r="Z35" i="19"/>
  <c r="AN43" i="19"/>
  <c r="AO50" i="19"/>
  <c r="AY50" i="19"/>
  <c r="AO78" i="19" s="1"/>
  <c r="AV54" i="19"/>
  <c r="AL79" i="19" s="1"/>
  <c r="AL54" i="19"/>
  <c r="AS18" i="20"/>
  <c r="AI70" i="20" s="1"/>
  <c r="AI18" i="20"/>
  <c r="Y28" i="20"/>
  <c r="AB28" i="20"/>
  <c r="AK40" i="20"/>
  <c r="AC40" i="20" s="1"/>
  <c r="Z40" i="20"/>
  <c r="AX42" i="20"/>
  <c r="AA76" i="20" s="1"/>
  <c r="AN42" i="20"/>
  <c r="AM50" i="20"/>
  <c r="Y53" i="20"/>
  <c r="AB53" i="20"/>
  <c r="AU62" i="20"/>
  <c r="Y11" i="21"/>
  <c r="AV18" i="21"/>
  <c r="AL70" i="21" s="1"/>
  <c r="AB28" i="21"/>
  <c r="AX50" i="21"/>
  <c r="AN50" i="21"/>
  <c r="AA50" i="21"/>
  <c r="AR22" i="22"/>
  <c r="AH71" i="22" s="1"/>
  <c r="AH62" i="22"/>
  <c r="AR62" i="22"/>
  <c r="AH81" i="22" s="1"/>
  <c r="AB43" i="23"/>
  <c r="AA45" i="23"/>
  <c r="AK31" i="21"/>
  <c r="AC31" i="21" s="1"/>
  <c r="Z31" i="21"/>
  <c r="AH64" i="21"/>
  <c r="Z64" i="21"/>
  <c r="AX10" i="21"/>
  <c r="AV30" i="21"/>
  <c r="AL73" i="21" s="1"/>
  <c r="AL30" i="21"/>
  <c r="AA17" i="20"/>
  <c r="AN17" i="20"/>
  <c r="AV26" i="20"/>
  <c r="AL72" i="20" s="1"/>
  <c r="AL50" i="20"/>
  <c r="AV50" i="20"/>
  <c r="AL78" i="20" s="1"/>
  <c r="AR30" i="22"/>
  <c r="AH73" i="22" s="1"/>
  <c r="AH30" i="22"/>
  <c r="AG27" i="19"/>
  <c r="AB27" i="19"/>
  <c r="AK15" i="23"/>
  <c r="Z15" i="23"/>
  <c r="AX38" i="19"/>
  <c r="AW54" i="19"/>
  <c r="AM79" i="19" s="1"/>
  <c r="AM54" i="19"/>
  <c r="AA10" i="20"/>
  <c r="AN10" i="20"/>
  <c r="AN12" i="20"/>
  <c r="AC12" i="20" s="1"/>
  <c r="AB14" i="20"/>
  <c r="Y27" i="20"/>
  <c r="AG27" i="20"/>
  <c r="AC27" i="20" s="1"/>
  <c r="AN32" i="20"/>
  <c r="AA32" i="20"/>
  <c r="AY42" i="20"/>
  <c r="AO76" i="20" s="1"/>
  <c r="AO42" i="20"/>
  <c r="AU50" i="20"/>
  <c r="AV62" i="20"/>
  <c r="AL81" i="20" s="1"/>
  <c r="AO64" i="20"/>
  <c r="AA64" i="20"/>
  <c r="Z23" i="21"/>
  <c r="AK23" i="21"/>
  <c r="AB29" i="21"/>
  <c r="AV38" i="21"/>
  <c r="AL75" i="21" s="1"/>
  <c r="AQ38" i="21"/>
  <c r="AB41" i="21"/>
  <c r="Z47" i="21"/>
  <c r="Z49" i="21"/>
  <c r="AX54" i="21"/>
  <c r="AN79" i="21" s="1"/>
  <c r="Y20" i="22"/>
  <c r="AN40" i="22"/>
  <c r="AA40" i="22"/>
  <c r="AA57" i="22"/>
  <c r="AS62" i="22"/>
  <c r="AI81" i="22" s="1"/>
  <c r="AI62" i="22"/>
  <c r="Y36" i="23"/>
  <c r="AG36" i="23"/>
  <c r="Y42" i="23"/>
  <c r="AQ42" i="23"/>
  <c r="AX18" i="20"/>
  <c r="AA70" i="20" s="1"/>
  <c r="AA18" i="20"/>
  <c r="AQ62" i="19"/>
  <c r="AG81" i="19" s="1"/>
  <c r="AG62" i="19"/>
  <c r="Y21" i="20"/>
  <c r="Y46" i="19"/>
  <c r="AY10" i="20"/>
  <c r="AB13" i="20"/>
  <c r="AG13" i="20"/>
  <c r="AH22" i="20"/>
  <c r="Y45" i="20"/>
  <c r="AG45" i="20"/>
  <c r="Y46" i="20"/>
  <c r="Y49" i="20"/>
  <c r="AG49" i="20"/>
  <c r="AC49" i="20" s="1"/>
  <c r="AT10" i="21"/>
  <c r="AJ68" i="21" s="1"/>
  <c r="AJ10" i="21"/>
  <c r="AW22" i="21"/>
  <c r="AM71" i="21" s="1"/>
  <c r="AM22" i="21"/>
  <c r="AW38" i="21"/>
  <c r="AM75" i="21" s="1"/>
  <c r="Y42" i="21"/>
  <c r="AG42" i="21"/>
  <c r="AO46" i="21"/>
  <c r="AK37" i="22"/>
  <c r="Y43" i="22"/>
  <c r="AN19" i="23"/>
  <c r="AA19" i="23"/>
  <c r="AA56" i="23"/>
  <c r="AN56" i="23"/>
  <c r="AS42" i="20"/>
  <c r="AI76" i="20" s="1"/>
  <c r="AA39" i="21"/>
  <c r="AA57" i="20"/>
  <c r="AU62" i="21"/>
  <c r="AK62" i="21"/>
  <c r="Z62" i="21"/>
  <c r="AJ26" i="19"/>
  <c r="AT26" i="19"/>
  <c r="AJ72" i="19" s="1"/>
  <c r="AH45" i="19"/>
  <c r="AC45" i="19" s="1"/>
  <c r="AB45" i="19"/>
  <c r="AA59" i="19"/>
  <c r="AA60" i="19"/>
  <c r="AN60" i="19"/>
  <c r="AM65" i="19"/>
  <c r="Z65" i="19"/>
  <c r="AB17" i="20"/>
  <c r="AA19" i="20"/>
  <c r="AN19" i="20"/>
  <c r="AK22" i="20"/>
  <c r="AR26" i="20"/>
  <c r="AH72" i="20" s="1"/>
  <c r="Z29" i="20"/>
  <c r="AV30" i="20"/>
  <c r="AL73" i="20" s="1"/>
  <c r="AU10" i="21"/>
  <c r="AK68" i="21" s="1"/>
  <c r="AX22" i="21"/>
  <c r="AA71" i="21" s="1"/>
  <c r="AA22" i="21"/>
  <c r="AT26" i="21"/>
  <c r="AJ72" i="21" s="1"/>
  <c r="AR42" i="21"/>
  <c r="AH76" i="21" s="1"/>
  <c r="AH42" i="21"/>
  <c r="Y44" i="21"/>
  <c r="AA57" i="21"/>
  <c r="AN57" i="21"/>
  <c r="AJ18" i="22"/>
  <c r="AT18" i="22"/>
  <c r="AJ70" i="22" s="1"/>
  <c r="AU22" i="22"/>
  <c r="AT30" i="23"/>
  <c r="AJ73" i="23" s="1"/>
  <c r="AJ31" i="23"/>
  <c r="AM43" i="20"/>
  <c r="Z43" i="20"/>
  <c r="Z58" i="20"/>
  <c r="AB14" i="21"/>
  <c r="AG14" i="21"/>
  <c r="Z19" i="21"/>
  <c r="AS34" i="21"/>
  <c r="AI74" i="21" s="1"/>
  <c r="AI34" i="21"/>
  <c r="AI57" i="21"/>
  <c r="AC57" i="21" s="1"/>
  <c r="AB57" i="21"/>
  <c r="AN18" i="19"/>
  <c r="AA18" i="19"/>
  <c r="AA21" i="19"/>
  <c r="AN21" i="19"/>
  <c r="Z26" i="19"/>
  <c r="AK26" i="19"/>
  <c r="Z37" i="19"/>
  <c r="AT38" i="19"/>
  <c r="AJ75" i="19" s="1"/>
  <c r="AV42" i="19"/>
  <c r="AL76" i="19" s="1"/>
  <c r="Y45" i="19"/>
  <c r="AN61" i="19"/>
  <c r="AA61" i="19"/>
  <c r="Y24" i="20"/>
  <c r="AX38" i="20"/>
  <c r="AU58" i="20"/>
  <c r="AK80" i="20" s="1"/>
  <c r="AK58" i="20"/>
  <c r="AY62" i="20"/>
  <c r="AO81" i="20" s="1"/>
  <c r="AI82" i="20"/>
  <c r="AC82" i="20" s="1"/>
  <c r="Y82" i="20"/>
  <c r="AY22" i="21"/>
  <c r="AO71" i="21" s="1"/>
  <c r="AO22" i="21"/>
  <c r="Y32" i="21"/>
  <c r="AI46" i="21"/>
  <c r="AS46" i="21"/>
  <c r="AI77" i="21" s="1"/>
  <c r="AQ34" i="22"/>
  <c r="AG74" i="22" s="1"/>
  <c r="AG34" i="22"/>
  <c r="Y38" i="22"/>
  <c r="AQ38" i="22"/>
  <c r="AG75" i="22" s="1"/>
  <c r="AB39" i="22"/>
  <c r="AK48" i="22"/>
  <c r="Z48" i="22"/>
  <c r="AX50" i="22"/>
  <c r="AA78" i="22" s="1"/>
  <c r="AN50" i="22"/>
  <c r="AC56" i="22"/>
  <c r="Y32" i="23"/>
  <c r="AJ10" i="19"/>
  <c r="AY14" i="19"/>
  <c r="AO69" i="19" s="1"/>
  <c r="AX22" i="19"/>
  <c r="AA71" i="19" s="1"/>
  <c r="Y28" i="19"/>
  <c r="AA35" i="19"/>
  <c r="AQ38" i="19"/>
  <c r="AX54" i="19"/>
  <c r="AT62" i="19"/>
  <c r="AJ81" i="19" s="1"/>
  <c r="AK10" i="20"/>
  <c r="AY14" i="20"/>
  <c r="AO69" i="20" s="1"/>
  <c r="AV18" i="20"/>
  <c r="AL70" i="20" s="1"/>
  <c r="AS22" i="20"/>
  <c r="AI71" i="20" s="1"/>
  <c r="AS30" i="20"/>
  <c r="AI73" i="20" s="1"/>
  <c r="AY38" i="20"/>
  <c r="AO75" i="20" s="1"/>
  <c r="AV42" i="20"/>
  <c r="AL76" i="20" s="1"/>
  <c r="Y44" i="20"/>
  <c r="AR46" i="20"/>
  <c r="AH77" i="20" s="1"/>
  <c r="Z82" i="20"/>
  <c r="AV10" i="21"/>
  <c r="AL68" i="21" s="1"/>
  <c r="AB18" i="21"/>
  <c r="AY26" i="21"/>
  <c r="AO72" i="21" s="1"/>
  <c r="AN28" i="21"/>
  <c r="AA30" i="21"/>
  <c r="AU34" i="21"/>
  <c r="AN35" i="21"/>
  <c r="AT38" i="21"/>
  <c r="AJ75" i="21" s="1"/>
  <c r="AY38" i="21"/>
  <c r="AO75" i="21" s="1"/>
  <c r="AN53" i="21"/>
  <c r="Z54" i="21"/>
  <c r="AU18" i="22"/>
  <c r="AK18" i="22"/>
  <c r="Z19" i="22"/>
  <c r="AK33" i="22"/>
  <c r="Z33" i="22"/>
  <c r="AR38" i="22"/>
  <c r="AH75" i="22" s="1"/>
  <c r="AH42" i="22"/>
  <c r="AR42" i="22"/>
  <c r="AH76" i="22" s="1"/>
  <c r="AV50" i="22"/>
  <c r="AL78" i="22" s="1"/>
  <c r="AL50" i="22"/>
  <c r="Y56" i="22"/>
  <c r="AT62" i="22"/>
  <c r="AJ81" i="22" s="1"/>
  <c r="AJ62" i="22"/>
  <c r="AB30" i="23"/>
  <c r="AR42" i="23"/>
  <c r="AH76" i="23" s="1"/>
  <c r="AK49" i="23"/>
  <c r="Z49" i="23"/>
  <c r="AQ10" i="19"/>
  <c r="AY22" i="19"/>
  <c r="AO71" i="19" s="1"/>
  <c r="AR38" i="19"/>
  <c r="AH75" i="19" s="1"/>
  <c r="AY54" i="19"/>
  <c r="AO79" i="19" s="1"/>
  <c r="AU62" i="19"/>
  <c r="Y63" i="19"/>
  <c r="AW18" i="20"/>
  <c r="AM70" i="20" s="1"/>
  <c r="AT30" i="20"/>
  <c r="AJ73" i="20" s="1"/>
  <c r="AS46" i="20"/>
  <c r="AI77" i="20" s="1"/>
  <c r="AA51" i="20"/>
  <c r="AA63" i="20"/>
  <c r="AW10" i="21"/>
  <c r="AU18" i="21"/>
  <c r="AB21" i="21"/>
  <c r="AA31" i="21"/>
  <c r="AV34" i="21"/>
  <c r="AL74" i="21" s="1"/>
  <c r="AU38" i="21"/>
  <c r="Y39" i="21"/>
  <c r="AQ46" i="21"/>
  <c r="AG77" i="21" s="1"/>
  <c r="AB26" i="22"/>
  <c r="Z30" i="22"/>
  <c r="AB53" i="22"/>
  <c r="AS54" i="22"/>
  <c r="AI79" i="22" s="1"/>
  <c r="AB60" i="22"/>
  <c r="AX26" i="23"/>
  <c r="AB29" i="23"/>
  <c r="AS38" i="23"/>
  <c r="AI75" i="23" s="1"/>
  <c r="Y11" i="19"/>
  <c r="AC12" i="19"/>
  <c r="Y14" i="19"/>
  <c r="AA22" i="19"/>
  <c r="AJ30" i="19"/>
  <c r="AA31" i="19"/>
  <c r="AG35" i="19"/>
  <c r="AA40" i="19"/>
  <c r="AX42" i="19"/>
  <c r="AB44" i="19"/>
  <c r="AI44" i="19"/>
  <c r="Z47" i="19"/>
  <c r="Y48" i="19"/>
  <c r="AA51" i="19"/>
  <c r="AU58" i="19"/>
  <c r="AX62" i="19"/>
  <c r="AS10" i="20"/>
  <c r="AI68" i="20" s="1"/>
  <c r="AQ14" i="20"/>
  <c r="AW22" i="20"/>
  <c r="AM71" i="20" s="1"/>
  <c r="AA31" i="20"/>
  <c r="Y38" i="20"/>
  <c r="AO38" i="20"/>
  <c r="Y56" i="20"/>
  <c r="AS14" i="21"/>
  <c r="AI69" i="21" s="1"/>
  <c r="AR22" i="21"/>
  <c r="AH71" i="21" s="1"/>
  <c r="AQ26" i="21"/>
  <c r="AC28" i="21"/>
  <c r="AB32" i="21"/>
  <c r="AN17" i="22"/>
  <c r="AA17" i="22"/>
  <c r="AV54" i="22"/>
  <c r="AL79" i="22" s="1"/>
  <c r="Z54" i="22"/>
  <c r="AB34" i="23"/>
  <c r="AB10" i="19"/>
  <c r="Y15" i="19"/>
  <c r="AQ22" i="19"/>
  <c r="AG71" i="19" s="1"/>
  <c r="AA32" i="19"/>
  <c r="Z33" i="19"/>
  <c r="AT34" i="19"/>
  <c r="AJ74" i="19" s="1"/>
  <c r="AW46" i="19"/>
  <c r="AM77" i="19" s="1"/>
  <c r="AQ54" i="19"/>
  <c r="AV58" i="19"/>
  <c r="AL80" i="19" s="1"/>
  <c r="AY62" i="19"/>
  <c r="AO81" i="19" s="1"/>
  <c r="AB10" i="20"/>
  <c r="AX22" i="20"/>
  <c r="AC36" i="20"/>
  <c r="AR38" i="20"/>
  <c r="AH75" i="20" s="1"/>
  <c r="AB51" i="20"/>
  <c r="AB64" i="20"/>
  <c r="AT14" i="21"/>
  <c r="AJ69" i="21" s="1"/>
  <c r="AY18" i="21"/>
  <c r="AO70" i="21" s="1"/>
  <c r="AS22" i="21"/>
  <c r="AI71" i="21" s="1"/>
  <c r="Z25" i="21"/>
  <c r="AA44" i="21"/>
  <c r="AU46" i="21"/>
  <c r="AA62" i="21"/>
  <c r="AN62" i="21"/>
  <c r="AN29" i="22"/>
  <c r="AA29" i="22"/>
  <c r="AN37" i="22"/>
  <c r="AA37" i="22"/>
  <c r="AW42" i="22"/>
  <c r="AM76" i="22" s="1"/>
  <c r="AM42" i="22"/>
  <c r="AQ10" i="23"/>
  <c r="Y68" i="23" s="1"/>
  <c r="AG10" i="23"/>
  <c r="AK39" i="23"/>
  <c r="AU38" i="23"/>
  <c r="AU46" i="23"/>
  <c r="AK46" i="23"/>
  <c r="AN48" i="23"/>
  <c r="AA48" i="23"/>
  <c r="AK61" i="23"/>
  <c r="Z61" i="23"/>
  <c r="AV10" i="19"/>
  <c r="AU34" i="19"/>
  <c r="AW38" i="19"/>
  <c r="AM75" i="19" s="1"/>
  <c r="Z43" i="19"/>
  <c r="AW58" i="19"/>
  <c r="AM80" i="19" s="1"/>
  <c r="AS14" i="20"/>
  <c r="AI69" i="20" s="1"/>
  <c r="AB15" i="20"/>
  <c r="Y35" i="20"/>
  <c r="AX46" i="20"/>
  <c r="AA77" i="20" s="1"/>
  <c r="AB62" i="20"/>
  <c r="Y63" i="20"/>
  <c r="AU14" i="21"/>
  <c r="AK69" i="21" s="1"/>
  <c r="AT22" i="21"/>
  <c r="AJ71" i="21" s="1"/>
  <c r="AO26" i="21"/>
  <c r="Z29" i="21"/>
  <c r="Y31" i="21"/>
  <c r="AX10" i="22"/>
  <c r="AN68" i="22" s="1"/>
  <c r="AN10" i="22"/>
  <c r="AN36" i="22"/>
  <c r="AA36" i="22"/>
  <c r="AT22" i="23"/>
  <c r="AJ71" i="23" s="1"/>
  <c r="AV46" i="23"/>
  <c r="AL77" i="23" s="1"/>
  <c r="Y51" i="23"/>
  <c r="AB51" i="23"/>
  <c r="Y52" i="23"/>
  <c r="AO19" i="23"/>
  <c r="AY18" i="23"/>
  <c r="AO70" i="23" s="1"/>
  <c r="AN23" i="23"/>
  <c r="AA23" i="23"/>
  <c r="AW10" i="19"/>
  <c r="AT14" i="19"/>
  <c r="AJ69" i="19" s="1"/>
  <c r="AS22" i="19"/>
  <c r="AI71" i="19" s="1"/>
  <c r="AS26" i="19"/>
  <c r="AI72" i="19" s="1"/>
  <c r="Y41" i="19"/>
  <c r="AA42" i="19"/>
  <c r="Y55" i="19"/>
  <c r="AX58" i="19"/>
  <c r="Y82" i="19"/>
  <c r="AT14" i="20"/>
  <c r="AJ69" i="20" s="1"/>
  <c r="Y17" i="20"/>
  <c r="Y18" i="20"/>
  <c r="AL18" i="20"/>
  <c r="AA21" i="20"/>
  <c r="AN31" i="20"/>
  <c r="AQ34" i="20"/>
  <c r="AT38" i="20"/>
  <c r="AJ75" i="20" s="1"/>
  <c r="Y42" i="20"/>
  <c r="AY46" i="20"/>
  <c r="AO77" i="20" s="1"/>
  <c r="AT50" i="20"/>
  <c r="AJ78" i="20" s="1"/>
  <c r="AM10" i="21"/>
  <c r="AV14" i="21"/>
  <c r="AL69" i="21" s="1"/>
  <c r="AU22" i="21"/>
  <c r="AK71" i="21" s="1"/>
  <c r="AA38" i="21"/>
  <c r="AV42" i="21"/>
  <c r="AL76" i="21" s="1"/>
  <c r="AW46" i="21"/>
  <c r="AM77" i="21" s="1"/>
  <c r="AV50" i="21"/>
  <c r="AL78" i="21" s="1"/>
  <c r="AY10" i="22"/>
  <c r="AO68" i="22" s="1"/>
  <c r="AO10" i="22"/>
  <c r="Y13" i="22"/>
  <c r="AG13" i="22"/>
  <c r="AQ14" i="22"/>
  <c r="Y69" i="22" s="1"/>
  <c r="Y51" i="22"/>
  <c r="AI51" i="22"/>
  <c r="Y63" i="22"/>
  <c r="AG63" i="22"/>
  <c r="AC63" i="22" s="1"/>
  <c r="AB19" i="23"/>
  <c r="AX22" i="23"/>
  <c r="AW46" i="23"/>
  <c r="AM77" i="23" s="1"/>
  <c r="Y22" i="23"/>
  <c r="AB22" i="23"/>
  <c r="Z40" i="23"/>
  <c r="AK40" i="23"/>
  <c r="Z10" i="15"/>
  <c r="AU14" i="19"/>
  <c r="AB17" i="19"/>
  <c r="AN22" i="19"/>
  <c r="AT54" i="19"/>
  <c r="AJ79" i="19" s="1"/>
  <c r="AB55" i="19"/>
  <c r="AB56" i="19"/>
  <c r="AJ62" i="19"/>
  <c r="AU14" i="20"/>
  <c r="AR18" i="20"/>
  <c r="AH70" i="20" s="1"/>
  <c r="AB20" i="20"/>
  <c r="AA25" i="20"/>
  <c r="AJ26" i="20"/>
  <c r="AI30" i="20"/>
  <c r="AR34" i="20"/>
  <c r="AH74" i="20" s="1"/>
  <c r="AR42" i="20"/>
  <c r="AH76" i="20" s="1"/>
  <c r="AI44" i="20"/>
  <c r="AA48" i="20"/>
  <c r="AT58" i="20"/>
  <c r="AJ80" i="20" s="1"/>
  <c r="AR10" i="21"/>
  <c r="AH68" i="21" s="1"/>
  <c r="AW14" i="21"/>
  <c r="AM69" i="21" s="1"/>
  <c r="AK18" i="21"/>
  <c r="AU26" i="21"/>
  <c r="AK72" i="21" s="1"/>
  <c r="AU30" i="21"/>
  <c r="AB34" i="21"/>
  <c r="AK34" i="21"/>
  <c r="Y37" i="21"/>
  <c r="AS58" i="21"/>
  <c r="AI80" i="21" s="1"/>
  <c r="Y60" i="21"/>
  <c r="AY62" i="21"/>
  <c r="AO81" i="21" s="1"/>
  <c r="AR14" i="22"/>
  <c r="AH69" i="22" s="1"/>
  <c r="AN16" i="22"/>
  <c r="AC16" i="22" s="1"/>
  <c r="AK26" i="22"/>
  <c r="AJ34" i="22"/>
  <c r="AX58" i="22"/>
  <c r="AN80" i="22" s="1"/>
  <c r="AA60" i="22"/>
  <c r="AN60" i="22"/>
  <c r="Y11" i="23"/>
  <c r="AV22" i="23"/>
  <c r="AL71" i="23" s="1"/>
  <c r="AQ26" i="23"/>
  <c r="AG72" i="23" s="1"/>
  <c r="Z28" i="23"/>
  <c r="AA33" i="23"/>
  <c r="AK59" i="23"/>
  <c r="AC59" i="23" s="1"/>
  <c r="Z59" i="23"/>
  <c r="AB13" i="22"/>
  <c r="AA18" i="22"/>
  <c r="AT26" i="22"/>
  <c r="AJ72" i="22" s="1"/>
  <c r="AA32" i="22"/>
  <c r="Y34" i="22"/>
  <c r="AS34" i="22"/>
  <c r="AI74" i="22" s="1"/>
  <c r="Z40" i="22"/>
  <c r="AV42" i="22"/>
  <c r="AL76" i="22" s="1"/>
  <c r="AW50" i="22"/>
  <c r="AM78" i="22" s="1"/>
  <c r="AV62" i="22"/>
  <c r="AL81" i="22" s="1"/>
  <c r="AB26" i="23"/>
  <c r="AS30" i="23"/>
  <c r="AI73" i="23" s="1"/>
  <c r="AB32" i="23"/>
  <c r="AA39" i="23"/>
  <c r="AA40" i="23"/>
  <c r="Y53" i="23"/>
  <c r="AU62" i="23"/>
  <c r="AK81" i="23" s="1"/>
  <c r="AW54" i="21"/>
  <c r="AM79" i="21" s="1"/>
  <c r="AB60" i="21"/>
  <c r="AR10" i="22"/>
  <c r="AU14" i="22"/>
  <c r="AV26" i="22"/>
  <c r="AL72" i="22" s="1"/>
  <c r="AW30" i="22"/>
  <c r="AM73" i="22" s="1"/>
  <c r="Y39" i="22"/>
  <c r="AX42" i="22"/>
  <c r="AW46" i="22"/>
  <c r="AM77" i="22" s="1"/>
  <c r="AA53" i="22"/>
  <c r="AW54" i="22"/>
  <c r="AM79" i="22" s="1"/>
  <c r="AR58" i="22"/>
  <c r="AH80" i="22" s="1"/>
  <c r="AS58" i="22"/>
  <c r="AI80" i="22" s="1"/>
  <c r="AV10" i="23"/>
  <c r="AB12" i="23"/>
  <c r="AA15" i="23"/>
  <c r="Z17" i="23"/>
  <c r="Z31" i="23"/>
  <c r="AW50" i="23"/>
  <c r="AM78" i="23" s="1"/>
  <c r="AW62" i="23"/>
  <c r="AM81" i="23" s="1"/>
  <c r="AY58" i="21"/>
  <c r="AO80" i="21" s="1"/>
  <c r="AB10" i="22"/>
  <c r="AW26" i="22"/>
  <c r="AM72" i="22" s="1"/>
  <c r="AB29" i="22"/>
  <c r="AX30" i="22"/>
  <c r="AB32" i="22"/>
  <c r="AV34" i="22"/>
  <c r="AL74" i="22" s="1"/>
  <c r="AV38" i="22"/>
  <c r="AL75" i="22" s="1"/>
  <c r="Y45" i="22"/>
  <c r="AS46" i="22"/>
  <c r="AI77" i="22" s="1"/>
  <c r="AX54" i="22"/>
  <c r="Y59" i="22"/>
  <c r="AY62" i="22"/>
  <c r="AO81" i="22" s="1"/>
  <c r="AW10" i="23"/>
  <c r="AM68" i="23" s="1"/>
  <c r="AA14" i="23"/>
  <c r="AA20" i="23"/>
  <c r="AC24" i="23"/>
  <c r="AB25" i="23"/>
  <c r="AA29" i="23"/>
  <c r="AQ34" i="23"/>
  <c r="AT38" i="23"/>
  <c r="AJ75" i="23" s="1"/>
  <c r="AA47" i="23"/>
  <c r="AS58" i="23"/>
  <c r="AI80" i="23" s="1"/>
  <c r="AB61" i="21"/>
  <c r="AT10" i="22"/>
  <c r="AJ68" i="22" s="1"/>
  <c r="Y11" i="22"/>
  <c r="AW14" i="22"/>
  <c r="AM69" i="22" s="1"/>
  <c r="AB22" i="22"/>
  <c r="AX26" i="22"/>
  <c r="AY30" i="22"/>
  <c r="AO73" i="22" s="1"/>
  <c r="AW34" i="22"/>
  <c r="AM74" i="22" s="1"/>
  <c r="Y36" i="22"/>
  <c r="AW38" i="22"/>
  <c r="AM75" i="22" s="1"/>
  <c r="AT58" i="22"/>
  <c r="AJ80" i="22" s="1"/>
  <c r="Y60" i="22"/>
  <c r="AA61" i="22"/>
  <c r="Z82" i="22"/>
  <c r="AY22" i="23"/>
  <c r="AO71" i="23" s="1"/>
  <c r="Z33" i="23"/>
  <c r="Z37" i="23"/>
  <c r="Z38" i="23"/>
  <c r="AV38" i="23"/>
  <c r="AL75" i="23" s="1"/>
  <c r="AW42" i="23"/>
  <c r="AM76" i="23" s="1"/>
  <c r="Y59" i="23"/>
  <c r="AU10" i="22"/>
  <c r="AK68" i="22" s="1"/>
  <c r="AX14" i="22"/>
  <c r="AV22" i="22"/>
  <c r="AL71" i="22" s="1"/>
  <c r="Y23" i="22"/>
  <c r="AY26" i="22"/>
  <c r="AO72" i="22" s="1"/>
  <c r="AX34" i="22"/>
  <c r="AN74" i="22" s="1"/>
  <c r="AX38" i="22"/>
  <c r="AU58" i="22"/>
  <c r="AK80" i="22" s="1"/>
  <c r="AY10" i="23"/>
  <c r="Y14" i="23"/>
  <c r="Z19" i="23"/>
  <c r="Y25" i="23"/>
  <c r="Z27" i="23"/>
  <c r="Y29" i="23"/>
  <c r="AS34" i="23"/>
  <c r="AI74" i="23" s="1"/>
  <c r="AR34" i="23"/>
  <c r="AH74" i="23" s="1"/>
  <c r="Z46" i="23"/>
  <c r="Y47" i="23"/>
  <c r="AC56" i="23"/>
  <c r="AA65" i="23"/>
  <c r="AS62" i="21"/>
  <c r="AI81" i="21" s="1"/>
  <c r="AV10" i="22"/>
  <c r="AB12" i="22"/>
  <c r="AY14" i="22"/>
  <c r="AO69" i="22" s="1"/>
  <c r="Z17" i="22"/>
  <c r="AY34" i="22"/>
  <c r="AO74" i="22" s="1"/>
  <c r="AY38" i="22"/>
  <c r="AO75" i="22" s="1"/>
  <c r="Z41" i="22"/>
  <c r="AR14" i="23"/>
  <c r="AH69" i="23" s="1"/>
  <c r="AB23" i="23"/>
  <c r="AW38" i="23"/>
  <c r="AM75" i="23" s="1"/>
  <c r="AB39" i="23"/>
  <c r="AS46" i="23"/>
  <c r="AI77" i="23" s="1"/>
  <c r="AV54" i="23"/>
  <c r="AL79" i="23" s="1"/>
  <c r="Y60" i="23"/>
  <c r="AB58" i="21"/>
  <c r="AO58" i="21"/>
  <c r="AC58" i="21" s="1"/>
  <c r="Z82" i="21"/>
  <c r="AA19" i="22"/>
  <c r="AA21" i="22"/>
  <c r="AX22" i="22"/>
  <c r="AA26" i="22"/>
  <c r="AA30" i="22"/>
  <c r="Y32" i="22"/>
  <c r="AA39" i="22"/>
  <c r="Y41" i="22"/>
  <c r="Y53" i="22"/>
  <c r="AN53" i="22"/>
  <c r="AA54" i="22"/>
  <c r="AW58" i="22"/>
  <c r="AM80" i="22" s="1"/>
  <c r="AB62" i="22"/>
  <c r="AN63" i="22"/>
  <c r="AA64" i="22"/>
  <c r="AS14" i="23"/>
  <c r="AI69" i="23" s="1"/>
  <c r="Y15" i="23"/>
  <c r="Y20" i="23"/>
  <c r="Z24" i="23"/>
  <c r="Y39" i="23"/>
  <c r="AT46" i="23"/>
  <c r="AJ77" i="23" s="1"/>
  <c r="AU58" i="23"/>
  <c r="AM62" i="23"/>
  <c r="AL68" i="23"/>
  <c r="AK69" i="23"/>
  <c r="AC12" i="23"/>
  <c r="AA69" i="23"/>
  <c r="AN69" i="23"/>
  <c r="AO68" i="23"/>
  <c r="AH68" i="23"/>
  <c r="AC11" i="23"/>
  <c r="AI68" i="23"/>
  <c r="AC21" i="23"/>
  <c r="AC28" i="23"/>
  <c r="AJ68" i="23"/>
  <c r="AC13" i="23"/>
  <c r="AJ44" i="23"/>
  <c r="AB44" i="23"/>
  <c r="AH10" i="23"/>
  <c r="Z12" i="23"/>
  <c r="AG14" i="23"/>
  <c r="AO14" i="23"/>
  <c r="Y16" i="23"/>
  <c r="AK16" i="23"/>
  <c r="AC16" i="23" s="1"/>
  <c r="Y17" i="23"/>
  <c r="AK17" i="23"/>
  <c r="AC17" i="23" s="1"/>
  <c r="AT18" i="23"/>
  <c r="AJ70" i="23" s="1"/>
  <c r="AB18" i="23"/>
  <c r="Y21" i="23"/>
  <c r="AK22" i="23"/>
  <c r="Z22" i="23"/>
  <c r="AQ22" i="23"/>
  <c r="Y24" i="23"/>
  <c r="AT26" i="23"/>
  <c r="AJ72" i="23" s="1"/>
  <c r="Y27" i="23"/>
  <c r="AQ30" i="23"/>
  <c r="AY30" i="23"/>
  <c r="AO73" i="23" s="1"/>
  <c r="AU30" i="23"/>
  <c r="AV34" i="23"/>
  <c r="AL74" i="23" s="1"/>
  <c r="Y38" i="23"/>
  <c r="AY38" i="23"/>
  <c r="AO75" i="23" s="1"/>
  <c r="Y40" i="23"/>
  <c r="AB40" i="23"/>
  <c r="AK41" i="23"/>
  <c r="AC41" i="23" s="1"/>
  <c r="Z41" i="23"/>
  <c r="AB41" i="23"/>
  <c r="AS42" i="23"/>
  <c r="AI76" i="23" s="1"/>
  <c r="AG43" i="23"/>
  <c r="AB46" i="23"/>
  <c r="AY46" i="23"/>
  <c r="AO77" i="23" s="1"/>
  <c r="AK74" i="23"/>
  <c r="AN46" i="23"/>
  <c r="AA46" i="23"/>
  <c r="AI10" i="23"/>
  <c r="AA12" i="23"/>
  <c r="Y13" i="23"/>
  <c r="AH14" i="23"/>
  <c r="AQ14" i="23"/>
  <c r="AB15" i="23"/>
  <c r="AU18" i="23"/>
  <c r="AQ18" i="23"/>
  <c r="AK20" i="23"/>
  <c r="AC20" i="23" s="1"/>
  <c r="Z21" i="23"/>
  <c r="AG22" i="23"/>
  <c r="AR22" i="23"/>
  <c r="AH71" i="23" s="1"/>
  <c r="AK23" i="23"/>
  <c r="AC23" i="23" s="1"/>
  <c r="AG25" i="23"/>
  <c r="AC25" i="23" s="1"/>
  <c r="AU26" i="23"/>
  <c r="AR30" i="23"/>
  <c r="AH73" i="23" s="1"/>
  <c r="AK30" i="23"/>
  <c r="AV30" i="23"/>
  <c r="AL73" i="23" s="1"/>
  <c r="AA31" i="23"/>
  <c r="AH32" i="23"/>
  <c r="Y33" i="23"/>
  <c r="AK33" i="23"/>
  <c r="AC33" i="23" s="1"/>
  <c r="Y34" i="23"/>
  <c r="AL34" i="23"/>
  <c r="AW34" i="23"/>
  <c r="AM74" i="23" s="1"/>
  <c r="AK37" i="23"/>
  <c r="AC37" i="23" s="1"/>
  <c r="AH39" i="23"/>
  <c r="AN40" i="23"/>
  <c r="Z42" i="23"/>
  <c r="AG49" i="23"/>
  <c r="AB49" i="23"/>
  <c r="Y49" i="23"/>
  <c r="AO49" i="23"/>
  <c r="AA49" i="23"/>
  <c r="AB55" i="23"/>
  <c r="Y55" i="23"/>
  <c r="AG55" i="23"/>
  <c r="AO55" i="23"/>
  <c r="AA55" i="23"/>
  <c r="AW14" i="23"/>
  <c r="AM69" i="23" s="1"/>
  <c r="Y10" i="23"/>
  <c r="Z13" i="23"/>
  <c r="AA16" i="23"/>
  <c r="AA17" i="23"/>
  <c r="AR18" i="23"/>
  <c r="AH70" i="23" s="1"/>
  <c r="AU22" i="23"/>
  <c r="AA24" i="23"/>
  <c r="Y26" i="23"/>
  <c r="AK26" i="23"/>
  <c r="AV26" i="23"/>
  <c r="AL72" i="23" s="1"/>
  <c r="AA27" i="23"/>
  <c r="Y30" i="23"/>
  <c r="AW30" i="23"/>
  <c r="AM73" i="23" s="1"/>
  <c r="AI32" i="23"/>
  <c r="Z34" i="23"/>
  <c r="Y37" i="23"/>
  <c r="AA38" i="23"/>
  <c r="AQ38" i="23"/>
  <c r="AI39" i="23"/>
  <c r="AA42" i="23"/>
  <c r="AU42" i="23"/>
  <c r="AK47" i="23"/>
  <c r="Z47" i="23"/>
  <c r="AX10" i="23"/>
  <c r="Y18" i="23"/>
  <c r="Y56" i="23"/>
  <c r="Z10" i="23"/>
  <c r="AK10" i="23"/>
  <c r="AA13" i="23"/>
  <c r="AJ14" i="23"/>
  <c r="AG15" i="23"/>
  <c r="AC15" i="23" s="1"/>
  <c r="AB16" i="23"/>
  <c r="AS18" i="23"/>
  <c r="AI70" i="23" s="1"/>
  <c r="AK19" i="23"/>
  <c r="Z20" i="23"/>
  <c r="Z23" i="23"/>
  <c r="AM23" i="23"/>
  <c r="AA25" i="23"/>
  <c r="AR26" i="23"/>
  <c r="AH72" i="23" s="1"/>
  <c r="AW26" i="23"/>
  <c r="AM72" i="23" s="1"/>
  <c r="AB27" i="23"/>
  <c r="AA28" i="23"/>
  <c r="Z30" i="23"/>
  <c r="AX30" i="23"/>
  <c r="AA35" i="23"/>
  <c r="AB38" i="23"/>
  <c r="AR38" i="23"/>
  <c r="AH75" i="23" s="1"/>
  <c r="AV42" i="23"/>
  <c r="AL76" i="23" s="1"/>
  <c r="AY42" i="23"/>
  <c r="AO76" i="23" s="1"/>
  <c r="AH45" i="23"/>
  <c r="AC45" i="23" s="1"/>
  <c r="AB45" i="23"/>
  <c r="AQ54" i="23"/>
  <c r="AY54" i="23"/>
  <c r="AO79" i="23" s="1"/>
  <c r="AG78" i="23"/>
  <c r="Y76" i="23"/>
  <c r="AG76" i="23"/>
  <c r="AA10" i="23"/>
  <c r="AU10" i="23"/>
  <c r="AB13" i="23"/>
  <c r="Z14" i="23"/>
  <c r="AT14" i="23"/>
  <c r="AJ69" i="23" s="1"/>
  <c r="AV18" i="23"/>
  <c r="AL70" i="23" s="1"/>
  <c r="Y19" i="23"/>
  <c r="Z26" i="23"/>
  <c r="AN72" i="23"/>
  <c r="AB28" i="23"/>
  <c r="AA30" i="23"/>
  <c r="AI31" i="23"/>
  <c r="AC31" i="23" s="1"/>
  <c r="AB35" i="23"/>
  <c r="AJ35" i="23"/>
  <c r="AC35" i="23" s="1"/>
  <c r="AA37" i="23"/>
  <c r="AA43" i="23"/>
  <c r="AN43" i="23"/>
  <c r="AK77" i="23"/>
  <c r="AM58" i="23"/>
  <c r="AW58" i="23"/>
  <c r="AM80" i="23" s="1"/>
  <c r="Y12" i="23"/>
  <c r="Y31" i="23"/>
  <c r="AM10" i="23"/>
  <c r="AL14" i="23"/>
  <c r="AW18" i="23"/>
  <c r="AM70" i="23" s="1"/>
  <c r="AA21" i="23"/>
  <c r="AN71" i="23"/>
  <c r="AY26" i="23"/>
  <c r="AO72" i="23" s="1"/>
  <c r="AB31" i="23"/>
  <c r="AN32" i="23"/>
  <c r="AB33" i="23"/>
  <c r="AB36" i="23"/>
  <c r="AB37" i="23"/>
  <c r="AX38" i="23"/>
  <c r="AN39" i="23"/>
  <c r="AX42" i="23"/>
  <c r="AX46" i="23"/>
  <c r="AI48" i="23"/>
  <c r="AC48" i="23" s="1"/>
  <c r="AB48" i="23"/>
  <c r="Y48" i="23"/>
  <c r="Z11" i="23"/>
  <c r="AB17" i="23"/>
  <c r="AX18" i="23"/>
  <c r="AB21" i="23"/>
  <c r="AB24" i="23"/>
  <c r="AC27" i="23"/>
  <c r="Y28" i="23"/>
  <c r="AK29" i="23"/>
  <c r="AC29" i="23" s="1"/>
  <c r="Z29" i="23"/>
  <c r="AX34" i="23"/>
  <c r="Y35" i="23"/>
  <c r="AK36" i="23"/>
  <c r="AC36" i="23" s="1"/>
  <c r="Z36" i="23"/>
  <c r="AK75" i="23"/>
  <c r="Y41" i="23"/>
  <c r="AG42" i="23"/>
  <c r="AB42" i="23"/>
  <c r="Y44" i="23"/>
  <c r="AK57" i="23"/>
  <c r="Z57" i="23"/>
  <c r="AA44" i="23"/>
  <c r="Y45" i="23"/>
  <c r="AH46" i="23"/>
  <c r="AQ46" i="23"/>
  <c r="AB47" i="23"/>
  <c r="Z48" i="23"/>
  <c r="AX58" i="23"/>
  <c r="Z45" i="23"/>
  <c r="AI46" i="23"/>
  <c r="AR46" i="23"/>
  <c r="AH77" i="23" s="1"/>
  <c r="AK50" i="23"/>
  <c r="Z50" i="23"/>
  <c r="AL50" i="23"/>
  <c r="AS54" i="23"/>
  <c r="AI79" i="23" s="1"/>
  <c r="AA59" i="23"/>
  <c r="AN59" i="23"/>
  <c r="Y46" i="23"/>
  <c r="AJ46" i="23"/>
  <c r="AG47" i="23"/>
  <c r="AA52" i="23"/>
  <c r="AN52" i="23"/>
  <c r="AR58" i="23"/>
  <c r="AH80" i="23" s="1"/>
  <c r="AB60" i="23"/>
  <c r="AV62" i="23"/>
  <c r="AL81" i="23" s="1"/>
  <c r="AG64" i="23"/>
  <c r="AB64" i="23"/>
  <c r="Y64" i="23"/>
  <c r="Y65" i="23"/>
  <c r="AU50" i="23"/>
  <c r="AU54" i="23"/>
  <c r="AK55" i="23"/>
  <c r="Z55" i="23"/>
  <c r="AG57" i="23"/>
  <c r="AC57" i="23" s="1"/>
  <c r="AB57" i="23"/>
  <c r="Y57" i="23"/>
  <c r="Y58" i="23"/>
  <c r="Z18" i="23"/>
  <c r="AK18" i="23"/>
  <c r="AC18" i="23" s="1"/>
  <c r="AJ22" i="23"/>
  <c r="Z25" i="23"/>
  <c r="AI26" i="23"/>
  <c r="AH30" i="23"/>
  <c r="AC30" i="23" s="1"/>
  <c r="Z32" i="23"/>
  <c r="AG34" i="23"/>
  <c r="AO34" i="23"/>
  <c r="AN38" i="23"/>
  <c r="AC38" i="23" s="1"/>
  <c r="Z39" i="23"/>
  <c r="AM42" i="23"/>
  <c r="AL46" i="23"/>
  <c r="AX50" i="23"/>
  <c r="AY50" i="23"/>
  <c r="AO78" i="23" s="1"/>
  <c r="AT58" i="23"/>
  <c r="AJ80" i="23" s="1"/>
  <c r="AY62" i="23"/>
  <c r="AO81" i="23" s="1"/>
  <c r="AA64" i="23"/>
  <c r="AK82" i="23"/>
  <c r="AN42" i="23"/>
  <c r="Z43" i="23"/>
  <c r="AI44" i="23"/>
  <c r="AC44" i="23" s="1"/>
  <c r="AM46" i="23"/>
  <c r="AG50" i="23"/>
  <c r="AB50" i="23"/>
  <c r="Y50" i="23"/>
  <c r="AW54" i="23"/>
  <c r="AM79" i="23" s="1"/>
  <c r="AT54" i="23"/>
  <c r="AJ79" i="23" s="1"/>
  <c r="AA57" i="23"/>
  <c r="AK80" i="23"/>
  <c r="AN61" i="23"/>
  <c r="AC61" i="23" s="1"/>
  <c r="AA61" i="23"/>
  <c r="AR50" i="23"/>
  <c r="AH78" i="23" s="1"/>
  <c r="AC52" i="23"/>
  <c r="AN54" i="23"/>
  <c r="AA54" i="23"/>
  <c r="AX54" i="23"/>
  <c r="AB61" i="23"/>
  <c r="AS62" i="23"/>
  <c r="AI81" i="23" s="1"/>
  <c r="AB62" i="23"/>
  <c r="Y63" i="23"/>
  <c r="AK64" i="23"/>
  <c r="Z64" i="23"/>
  <c r="AJ50" i="23"/>
  <c r="AS50" i="23"/>
  <c r="AI78" i="23" s="1"/>
  <c r="AG51" i="23"/>
  <c r="AC51" i="23" s="1"/>
  <c r="AB52" i="23"/>
  <c r="Z53" i="23"/>
  <c r="AI54" i="23"/>
  <c r="AR54" i="23"/>
  <c r="AH79" i="23" s="1"/>
  <c r="AH58" i="23"/>
  <c r="AQ58" i="23"/>
  <c r="AY58" i="23"/>
  <c r="AO80" i="23" s="1"/>
  <c r="AB59" i="23"/>
  <c r="Z60" i="23"/>
  <c r="AG62" i="23"/>
  <c r="AO62" i="23"/>
  <c r="AX62" i="23"/>
  <c r="AA53" i="23"/>
  <c r="Y54" i="23"/>
  <c r="AB56" i="23"/>
  <c r="AA60" i="23"/>
  <c r="Y61" i="23"/>
  <c r="AQ62" i="23"/>
  <c r="AB63" i="23"/>
  <c r="AA82" i="23"/>
  <c r="AM50" i="23"/>
  <c r="AL54" i="23"/>
  <c r="Z58" i="23"/>
  <c r="AK58" i="23"/>
  <c r="AC58" i="23" s="1"/>
  <c r="AJ62" i="23"/>
  <c r="Z65" i="23"/>
  <c r="AN50" i="23"/>
  <c r="Z51" i="23"/>
  <c r="AG53" i="23"/>
  <c r="AC53" i="23" s="1"/>
  <c r="AB54" i="23"/>
  <c r="AM54" i="23"/>
  <c r="AA58" i="23"/>
  <c r="AL58" i="23"/>
  <c r="AG60" i="23"/>
  <c r="AC60" i="23" s="1"/>
  <c r="Z62" i="23"/>
  <c r="AK62" i="23"/>
  <c r="AA51" i="23"/>
  <c r="AB58" i="23"/>
  <c r="AA62" i="23"/>
  <c r="AB65" i="23"/>
  <c r="AG82" i="23"/>
  <c r="AC82" i="23" s="1"/>
  <c r="Z56" i="23"/>
  <c r="Z63" i="23"/>
  <c r="AC12" i="22"/>
  <c r="AC15" i="22"/>
  <c r="AA69" i="22"/>
  <c r="AN69" i="22"/>
  <c r="AL68" i="22"/>
  <c r="AH68" i="22"/>
  <c r="AC28" i="22"/>
  <c r="AK69" i="22"/>
  <c r="AN76" i="22"/>
  <c r="AC35" i="22"/>
  <c r="AC46" i="22"/>
  <c r="Y15" i="22"/>
  <c r="AA11" i="22"/>
  <c r="Y12" i="22"/>
  <c r="Z15" i="22"/>
  <c r="AQ18" i="22"/>
  <c r="AY18" i="22"/>
  <c r="AO70" i="22" s="1"/>
  <c r="AX18" i="22"/>
  <c r="AK19" i="22"/>
  <c r="AI20" i="22"/>
  <c r="AS22" i="22"/>
  <c r="AI71" i="22" s="1"/>
  <c r="AS26" i="22"/>
  <c r="AI72" i="22" s="1"/>
  <c r="Z26" i="22"/>
  <c r="Z72" i="22"/>
  <c r="AK72" i="22"/>
  <c r="AK29" i="22"/>
  <c r="Z29" i="22"/>
  <c r="AK73" i="22"/>
  <c r="AL32" i="22"/>
  <c r="AC32" i="22" s="1"/>
  <c r="Z32" i="22"/>
  <c r="AB33" i="22"/>
  <c r="AK36" i="22"/>
  <c r="Z36" i="22"/>
  <c r="AL39" i="22"/>
  <c r="Z39" i="22"/>
  <c r="AB40" i="22"/>
  <c r="AX46" i="22"/>
  <c r="AB14" i="22"/>
  <c r="AK71" i="22"/>
  <c r="AH10" i="22"/>
  <c r="AB11" i="22"/>
  <c r="Z12" i="22"/>
  <c r="AG14" i="22"/>
  <c r="AO14" i="22"/>
  <c r="AA15" i="22"/>
  <c r="Y16" i="22"/>
  <c r="AI17" i="22"/>
  <c r="AR18" i="22"/>
  <c r="AH70" i="22" s="1"/>
  <c r="AH18" i="22"/>
  <c r="AG19" i="22"/>
  <c r="AB19" i="22"/>
  <c r="AK21" i="22"/>
  <c r="AC21" i="22" s="1"/>
  <c r="Z21" i="22"/>
  <c r="AT22" i="22"/>
  <c r="AJ71" i="22" s="1"/>
  <c r="AW22" i="22"/>
  <c r="AM71" i="22" s="1"/>
  <c r="AN31" i="22"/>
  <c r="AA31" i="22"/>
  <c r="AU34" i="22"/>
  <c r="AT38" i="22"/>
  <c r="AJ75" i="22" s="1"/>
  <c r="AH38" i="22"/>
  <c r="AS42" i="22"/>
  <c r="AI76" i="22" s="1"/>
  <c r="AY42" i="22"/>
  <c r="AO76" i="22" s="1"/>
  <c r="AI45" i="22"/>
  <c r="AT46" i="22"/>
  <c r="AJ77" i="22" s="1"/>
  <c r="AL47" i="22"/>
  <c r="AC49" i="22"/>
  <c r="AB64" i="22"/>
  <c r="AK64" i="22"/>
  <c r="Z64" i="22"/>
  <c r="Y30" i="22"/>
  <c r="AI10" i="22"/>
  <c r="AA12" i="22"/>
  <c r="AH14" i="22"/>
  <c r="AB15" i="22"/>
  <c r="Z16" i="22"/>
  <c r="AK17" i="22"/>
  <c r="AS18" i="22"/>
  <c r="AI70" i="22" s="1"/>
  <c r="Y18" i="22"/>
  <c r="AK22" i="22"/>
  <c r="Z22" i="22"/>
  <c r="AL25" i="22"/>
  <c r="Z25" i="22"/>
  <c r="AG27" i="22"/>
  <c r="AB27" i="22"/>
  <c r="AO27" i="22"/>
  <c r="AA27" i="22"/>
  <c r="AA28" i="22"/>
  <c r="AV30" i="22"/>
  <c r="AL73" i="22" s="1"/>
  <c r="AB31" i="22"/>
  <c r="Y31" i="22"/>
  <c r="AN32" i="22"/>
  <c r="AI34" i="22"/>
  <c r="AA35" i="22"/>
  <c r="AU38" i="22"/>
  <c r="AN39" i="22"/>
  <c r="AI41" i="22"/>
  <c r="AT42" i="22"/>
  <c r="AJ76" i="22" s="1"/>
  <c r="AU46" i="22"/>
  <c r="Y47" i="22"/>
  <c r="Y10" i="22"/>
  <c r="AJ10" i="22"/>
  <c r="AS10" i="22"/>
  <c r="AG11" i="22"/>
  <c r="Z13" i="22"/>
  <c r="AK13" i="22"/>
  <c r="AC13" i="22" s="1"/>
  <c r="AI14" i="22"/>
  <c r="Z18" i="22"/>
  <c r="AN18" i="22"/>
  <c r="Y19" i="22"/>
  <c r="AG20" i="22"/>
  <c r="AB20" i="22"/>
  <c r="AO20" i="22"/>
  <c r="AA20" i="22"/>
  <c r="AN21" i="22"/>
  <c r="AH23" i="22"/>
  <c r="AC23" i="22" s="1"/>
  <c r="AB23" i="22"/>
  <c r="AN24" i="22"/>
  <c r="AA24" i="22"/>
  <c r="AB28" i="22"/>
  <c r="Y28" i="22"/>
  <c r="AB35" i="22"/>
  <c r="Y35" i="22"/>
  <c r="AU42" i="22"/>
  <c r="AV46" i="22"/>
  <c r="AL77" i="22" s="1"/>
  <c r="AW10" i="22"/>
  <c r="Z10" i="22"/>
  <c r="AK10" i="22"/>
  <c r="AA13" i="22"/>
  <c r="Y14" i="22"/>
  <c r="AJ14" i="22"/>
  <c r="AB16" i="22"/>
  <c r="AK70" i="22"/>
  <c r="AB18" i="22"/>
  <c r="AB24" i="22"/>
  <c r="Y24" i="22"/>
  <c r="AN25" i="22"/>
  <c r="Y27" i="22"/>
  <c r="AN73" i="22"/>
  <c r="AA73" i="22"/>
  <c r="AC31" i="22"/>
  <c r="Y33" i="22"/>
  <c r="Y40" i="22"/>
  <c r="AC44" i="22"/>
  <c r="AN46" i="22"/>
  <c r="AB42" i="22"/>
  <c r="Y42" i="22"/>
  <c r="Z14" i="22"/>
  <c r="AB21" i="22"/>
  <c r="Y21" i="22"/>
  <c r="AN71" i="22"/>
  <c r="AA72" i="22"/>
  <c r="AN72" i="22"/>
  <c r="AG73" i="22"/>
  <c r="AC37" i="22"/>
  <c r="AN75" i="22"/>
  <c r="AA75" i="22"/>
  <c r="AG45" i="22"/>
  <c r="AB45" i="22"/>
  <c r="AO45" i="22"/>
  <c r="AA45" i="22"/>
  <c r="AQ50" i="22"/>
  <c r="AG50" i="22"/>
  <c r="Y50" i="22"/>
  <c r="AB50" i="22"/>
  <c r="AY50" i="22"/>
  <c r="AO78" i="22" s="1"/>
  <c r="AO50" i="22"/>
  <c r="AA50" i="22"/>
  <c r="AV14" i="22"/>
  <c r="AL69" i="22" s="1"/>
  <c r="Y37" i="22"/>
  <c r="AK43" i="22"/>
  <c r="Z43" i="22"/>
  <c r="AB17" i="22"/>
  <c r="AV18" i="22"/>
  <c r="AL70" i="22" s="1"/>
  <c r="AQ22" i="22"/>
  <c r="AY22" i="22"/>
  <c r="AO71" i="22" s="1"/>
  <c r="AG24" i="22"/>
  <c r="AC24" i="22" s="1"/>
  <c r="AS30" i="22"/>
  <c r="AI73" i="22" s="1"/>
  <c r="AH34" i="22"/>
  <c r="AB34" i="22"/>
  <c r="AR34" i="22"/>
  <c r="AH74" i="22" s="1"/>
  <c r="AG38" i="22"/>
  <c r="AB38" i="22"/>
  <c r="AO38" i="22"/>
  <c r="AA38" i="22"/>
  <c r="AH41" i="22"/>
  <c r="AB41" i="22"/>
  <c r="AN42" i="22"/>
  <c r="AA42" i="22"/>
  <c r="AQ42" i="22"/>
  <c r="AB43" i="22"/>
  <c r="Y44" i="22"/>
  <c r="AB46" i="22"/>
  <c r="Y46" i="22"/>
  <c r="AQ46" i="22"/>
  <c r="AB47" i="22"/>
  <c r="AN79" i="22"/>
  <c r="AB55" i="22"/>
  <c r="Y55" i="22"/>
  <c r="AG55" i="22"/>
  <c r="Z20" i="22"/>
  <c r="AG22" i="22"/>
  <c r="AO22" i="22"/>
  <c r="AA23" i="22"/>
  <c r="AN26" i="22"/>
  <c r="Z27" i="22"/>
  <c r="AB30" i="22"/>
  <c r="AM30" i="22"/>
  <c r="AA34" i="22"/>
  <c r="AL34" i="22"/>
  <c r="AB37" i="22"/>
  <c r="Z38" i="22"/>
  <c r="AK38" i="22"/>
  <c r="AA41" i="22"/>
  <c r="AJ42" i="22"/>
  <c r="AB44" i="22"/>
  <c r="Z45" i="22"/>
  <c r="AI46" i="22"/>
  <c r="AA48" i="22"/>
  <c r="Y49" i="22"/>
  <c r="AR50" i="22"/>
  <c r="AH78" i="22" s="1"/>
  <c r="AH50" i="22"/>
  <c r="AB51" i="22"/>
  <c r="AQ54" i="22"/>
  <c r="AY54" i="22"/>
  <c r="AO79" i="22" s="1"/>
  <c r="AC65" i="22"/>
  <c r="AH22" i="22"/>
  <c r="Z24" i="22"/>
  <c r="AI25" i="22"/>
  <c r="AG26" i="22"/>
  <c r="AO26" i="22"/>
  <c r="AN30" i="22"/>
  <c r="Z31" i="22"/>
  <c r="AI32" i="22"/>
  <c r="AG33" i="22"/>
  <c r="AC33" i="22" s="1"/>
  <c r="AM34" i="22"/>
  <c r="AL38" i="22"/>
  <c r="AI39" i="22"/>
  <c r="AG40" i="22"/>
  <c r="AC40" i="22" s="1"/>
  <c r="Z42" i="22"/>
  <c r="AK42" i="22"/>
  <c r="AJ46" i="22"/>
  <c r="AG47" i="22"/>
  <c r="AB48" i="22"/>
  <c r="Z49" i="22"/>
  <c r="Y58" i="22"/>
  <c r="AI22" i="22"/>
  <c r="AH26" i="22"/>
  <c r="AQ26" i="22"/>
  <c r="Z28" i="22"/>
  <c r="AI29" i="22"/>
  <c r="AC29" i="22" s="1"/>
  <c r="AG30" i="22"/>
  <c r="AO30" i="22"/>
  <c r="AN34" i="22"/>
  <c r="Z35" i="22"/>
  <c r="AI36" i="22"/>
  <c r="AC36" i="22" s="1"/>
  <c r="AM38" i="22"/>
  <c r="AL42" i="22"/>
  <c r="AI43" i="22"/>
  <c r="Z46" i="22"/>
  <c r="AK46" i="22"/>
  <c r="AA49" i="22"/>
  <c r="Y65" i="22"/>
  <c r="Y22" i="22"/>
  <c r="AB49" i="22"/>
  <c r="AK50" i="22"/>
  <c r="Z50" i="22"/>
  <c r="AU62" i="22"/>
  <c r="AC64" i="22"/>
  <c r="AM50" i="22"/>
  <c r="AU54" i="22"/>
  <c r="AV58" i="22"/>
  <c r="AL80" i="22" s="1"/>
  <c r="AK82" i="22"/>
  <c r="AI48" i="22"/>
  <c r="AC48" i="22" s="1"/>
  <c r="AA52" i="22"/>
  <c r="AN52" i="22"/>
  <c r="AC52" i="22" s="1"/>
  <c r="AN78" i="22"/>
  <c r="AK78" i="22"/>
  <c r="Z78" i="22"/>
  <c r="Y52" i="22"/>
  <c r="AB52" i="22"/>
  <c r="AA55" i="22"/>
  <c r="AB57" i="22"/>
  <c r="AK57" i="22"/>
  <c r="AC57" i="22" s="1"/>
  <c r="Z57" i="22"/>
  <c r="AA59" i="22"/>
  <c r="AN59" i="22"/>
  <c r="AC59" i="22" s="1"/>
  <c r="AJ50" i="22"/>
  <c r="AS50" i="22"/>
  <c r="AI78" i="22" s="1"/>
  <c r="AG51" i="22"/>
  <c r="AC51" i="22" s="1"/>
  <c r="Z53" i="22"/>
  <c r="AI54" i="22"/>
  <c r="AR54" i="22"/>
  <c r="AH79" i="22" s="1"/>
  <c r="AN55" i="22"/>
  <c r="Y57" i="22"/>
  <c r="AH58" i="22"/>
  <c r="AQ58" i="22"/>
  <c r="AY58" i="22"/>
  <c r="AO80" i="22" s="1"/>
  <c r="AB59" i="22"/>
  <c r="Z60" i="22"/>
  <c r="AG62" i="22"/>
  <c r="AO62" i="22"/>
  <c r="AX62" i="22"/>
  <c r="Y64" i="22"/>
  <c r="Y54" i="22"/>
  <c r="AB56" i="22"/>
  <c r="Y61" i="22"/>
  <c r="AQ62" i="22"/>
  <c r="AB63" i="22"/>
  <c r="AA82" i="22"/>
  <c r="Y62" i="22"/>
  <c r="Z51" i="22"/>
  <c r="AG53" i="22"/>
  <c r="AB54" i="22"/>
  <c r="AM54" i="22"/>
  <c r="AA58" i="22"/>
  <c r="AL58" i="22"/>
  <c r="AG60" i="22"/>
  <c r="AB61" i="22"/>
  <c r="Z62" i="22"/>
  <c r="AK62" i="22"/>
  <c r="AA65" i="22"/>
  <c r="AA51" i="22"/>
  <c r="AN54" i="22"/>
  <c r="Z55" i="22"/>
  <c r="AB58" i="22"/>
  <c r="AM58" i="22"/>
  <c r="AA62" i="22"/>
  <c r="AL62" i="22"/>
  <c r="AB65" i="22"/>
  <c r="Z52" i="22"/>
  <c r="AG54" i="22"/>
  <c r="AO54" i="22"/>
  <c r="AN58" i="22"/>
  <c r="Z59" i="22"/>
  <c r="AM62" i="22"/>
  <c r="AG82" i="22"/>
  <c r="Z56" i="22"/>
  <c r="Z63" i="22"/>
  <c r="AG75" i="21"/>
  <c r="Y75" i="21"/>
  <c r="AC17" i="21"/>
  <c r="AC20" i="21"/>
  <c r="AI68" i="21"/>
  <c r="AC13" i="21"/>
  <c r="AK70" i="21"/>
  <c r="AG71" i="21"/>
  <c r="AC16" i="21"/>
  <c r="AK75" i="21"/>
  <c r="Z75" i="21"/>
  <c r="AN68" i="21"/>
  <c r="AC35" i="21"/>
  <c r="AC49" i="21"/>
  <c r="AC21" i="21"/>
  <c r="AM30" i="21"/>
  <c r="Z30" i="21"/>
  <c r="AR34" i="21"/>
  <c r="AH74" i="21" s="1"/>
  <c r="AI53" i="21"/>
  <c r="AB53" i="21"/>
  <c r="AI10" i="21"/>
  <c r="AA12" i="21"/>
  <c r="Y13" i="21"/>
  <c r="AH14" i="21"/>
  <c r="AQ14" i="21"/>
  <c r="AB15" i="21"/>
  <c r="Z16" i="21"/>
  <c r="AG18" i="21"/>
  <c r="AO18" i="21"/>
  <c r="AX18" i="21"/>
  <c r="AA19" i="21"/>
  <c r="Y20" i="21"/>
  <c r="AN22" i="21"/>
  <c r="AR26" i="21"/>
  <c r="AH72" i="21" s="1"/>
  <c r="AH26" i="21"/>
  <c r="AL26" i="21"/>
  <c r="Y27" i="21"/>
  <c r="AB27" i="21"/>
  <c r="AX30" i="21"/>
  <c r="AB37" i="21"/>
  <c r="AS42" i="21"/>
  <c r="AI76" i="21" s="1"/>
  <c r="Z42" i="21"/>
  <c r="AT42" i="21"/>
  <c r="AJ76" i="21" s="1"/>
  <c r="AK43" i="21"/>
  <c r="AX46" i="21"/>
  <c r="AH65" i="21"/>
  <c r="AR62" i="21"/>
  <c r="AH81" i="21" s="1"/>
  <c r="AX14" i="21"/>
  <c r="Y16" i="21"/>
  <c r="AL48" i="21"/>
  <c r="Z48" i="21"/>
  <c r="Y10" i="21"/>
  <c r="AB12" i="21"/>
  <c r="Z13" i="21"/>
  <c r="AA16" i="21"/>
  <c r="Y17" i="21"/>
  <c r="AQ18" i="21"/>
  <c r="AB19" i="21"/>
  <c r="Z20" i="21"/>
  <c r="AB23" i="21"/>
  <c r="AH24" i="21"/>
  <c r="Y25" i="21"/>
  <c r="Y26" i="21"/>
  <c r="AA29" i="21"/>
  <c r="AB30" i="21"/>
  <c r="AY34" i="21"/>
  <c r="AO74" i="21" s="1"/>
  <c r="AA36" i="21"/>
  <c r="AN40" i="21"/>
  <c r="AA40" i="21"/>
  <c r="AL41" i="21"/>
  <c r="Z41" i="21"/>
  <c r="AW42" i="21"/>
  <c r="AM76" i="21" s="1"/>
  <c r="AI44" i="21"/>
  <c r="AA45" i="21"/>
  <c r="AM46" i="21"/>
  <c r="AB47" i="21"/>
  <c r="AB51" i="21"/>
  <c r="AG51" i="21"/>
  <c r="AC51" i="21" s="1"/>
  <c r="Y51" i="21"/>
  <c r="AA51" i="21"/>
  <c r="AO51" i="21"/>
  <c r="AB11" i="21"/>
  <c r="AN47" i="21"/>
  <c r="AA47" i="21"/>
  <c r="Y53" i="21"/>
  <c r="Z10" i="21"/>
  <c r="AK10" i="21"/>
  <c r="AA13" i="21"/>
  <c r="Y14" i="21"/>
  <c r="AJ14" i="21"/>
  <c r="AG15" i="21"/>
  <c r="AC15" i="21" s="1"/>
  <c r="AB16" i="21"/>
  <c r="Z17" i="21"/>
  <c r="AI18" i="21"/>
  <c r="AA20" i="21"/>
  <c r="Y21" i="21"/>
  <c r="AH22" i="21"/>
  <c r="AA24" i="21"/>
  <c r="AL25" i="21"/>
  <c r="AC25" i="21" s="1"/>
  <c r="Z26" i="21"/>
  <c r="AA27" i="21"/>
  <c r="AR30" i="21"/>
  <c r="AH73" i="21" s="1"/>
  <c r="AK74" i="21"/>
  <c r="Y38" i="21"/>
  <c r="AB38" i="21"/>
  <c r="AB39" i="21"/>
  <c r="AU42" i="21"/>
  <c r="AX42" i="21"/>
  <c r="AR46" i="21"/>
  <c r="AH77" i="21" s="1"/>
  <c r="Y47" i="21"/>
  <c r="Y48" i="21"/>
  <c r="AG48" i="21"/>
  <c r="Z50" i="21"/>
  <c r="AY10" i="21"/>
  <c r="AA10" i="21"/>
  <c r="AL10" i="21"/>
  <c r="AI11" i="21"/>
  <c r="AC11" i="21" s="1"/>
  <c r="AG12" i="21"/>
  <c r="AC12" i="21" s="1"/>
  <c r="AB13" i="21"/>
  <c r="Z14" i="21"/>
  <c r="AK14" i="21"/>
  <c r="AA17" i="21"/>
  <c r="AJ18" i="21"/>
  <c r="AG19" i="21"/>
  <c r="AC19" i="21" s="1"/>
  <c r="AB20" i="21"/>
  <c r="Z21" i="21"/>
  <c r="AI22" i="21"/>
  <c r="Y24" i="21"/>
  <c r="AA26" i="21"/>
  <c r="AS26" i="21"/>
  <c r="AI72" i="21" s="1"/>
  <c r="AG27" i="21"/>
  <c r="Y30" i="21"/>
  <c r="AS30" i="21"/>
  <c r="AI73" i="21" s="1"/>
  <c r="AN33" i="21"/>
  <c r="AA33" i="21"/>
  <c r="AL34" i="21"/>
  <c r="Z34" i="21"/>
  <c r="AK39" i="21"/>
  <c r="AC39" i="21" s="1"/>
  <c r="Z39" i="21"/>
  <c r="AB40" i="21"/>
  <c r="AA41" i="21"/>
  <c r="AG43" i="21"/>
  <c r="AB43" i="21"/>
  <c r="Y43" i="21"/>
  <c r="AM44" i="21"/>
  <c r="Z44" i="21"/>
  <c r="AK45" i="21"/>
  <c r="AC45" i="21" s="1"/>
  <c r="Z45" i="21"/>
  <c r="Y46" i="21"/>
  <c r="AN49" i="21"/>
  <c r="AA49" i="21"/>
  <c r="AK79" i="21"/>
  <c r="Y56" i="21"/>
  <c r="AG56" i="21"/>
  <c r="AC56" i="21" s="1"/>
  <c r="AQ54" i="21"/>
  <c r="AB56" i="21"/>
  <c r="AN60" i="21"/>
  <c r="AX58" i="21"/>
  <c r="AA60" i="21"/>
  <c r="AQ10" i="21"/>
  <c r="Y72" i="21"/>
  <c r="AG72" i="21"/>
  <c r="Y45" i="21"/>
  <c r="AB45" i="21"/>
  <c r="AB10" i="21"/>
  <c r="AA14" i="21"/>
  <c r="AB17" i="21"/>
  <c r="Z18" i="21"/>
  <c r="AT18" i="21"/>
  <c r="AJ70" i="21" s="1"/>
  <c r="AA21" i="21"/>
  <c r="Y22" i="21"/>
  <c r="AA23" i="21"/>
  <c r="AN23" i="21"/>
  <c r="AB26" i="21"/>
  <c r="AK27" i="21"/>
  <c r="Z27" i="21"/>
  <c r="AT30" i="21"/>
  <c r="AJ73" i="21" s="1"/>
  <c r="AW30" i="21"/>
  <c r="AM73" i="21" s="1"/>
  <c r="Y40" i="21"/>
  <c r="Y41" i="21"/>
  <c r="AG41" i="21"/>
  <c r="AT46" i="21"/>
  <c r="AJ77" i="21" s="1"/>
  <c r="AB46" i="21"/>
  <c r="AB48" i="21"/>
  <c r="Y49" i="21"/>
  <c r="AM50" i="21"/>
  <c r="AC50" i="21" s="1"/>
  <c r="AW50" i="21"/>
  <c r="AM78" i="21" s="1"/>
  <c r="AW18" i="21"/>
  <c r="AM70" i="21" s="1"/>
  <c r="AV22" i="21"/>
  <c r="AL71" i="21" s="1"/>
  <c r="AN10" i="21"/>
  <c r="Z11" i="21"/>
  <c r="AM14" i="21"/>
  <c r="AL18" i="21"/>
  <c r="Z22" i="21"/>
  <c r="AK22" i="21"/>
  <c r="Z24" i="21"/>
  <c r="AN24" i="21"/>
  <c r="AB25" i="21"/>
  <c r="AW26" i="21"/>
  <c r="AM72" i="21" s="1"/>
  <c r="Y28" i="21"/>
  <c r="AK32" i="21"/>
  <c r="AC32" i="21" s="1"/>
  <c r="Z32" i="21"/>
  <c r="AB33" i="21"/>
  <c r="AA34" i="21"/>
  <c r="Y35" i="21"/>
  <c r="AG38" i="21"/>
  <c r="AC38" i="21" s="1"/>
  <c r="AX38" i="21"/>
  <c r="AB75" i="21" s="1"/>
  <c r="AB44" i="21"/>
  <c r="AK77" i="21"/>
  <c r="AV46" i="21"/>
  <c r="AL77" i="21" s="1"/>
  <c r="AN78" i="21"/>
  <c r="AK57" i="21"/>
  <c r="Z57" i="21"/>
  <c r="Z15" i="21"/>
  <c r="AX26" i="21"/>
  <c r="AG29" i="21"/>
  <c r="AC29" i="21" s="1"/>
  <c r="Y29" i="21"/>
  <c r="Y33" i="21"/>
  <c r="Y34" i="21"/>
  <c r="AG34" i="21"/>
  <c r="AQ34" i="21"/>
  <c r="AG36" i="21"/>
  <c r="AC36" i="21" s="1"/>
  <c r="AB36" i="21"/>
  <c r="Y36" i="21"/>
  <c r="AM37" i="21"/>
  <c r="Z37" i="21"/>
  <c r="AK38" i="21"/>
  <c r="Z38" i="21"/>
  <c r="AY42" i="21"/>
  <c r="AO76" i="21" s="1"/>
  <c r="AT50" i="21"/>
  <c r="AJ78" i="21" s="1"/>
  <c r="Z28" i="21"/>
  <c r="AG30" i="21"/>
  <c r="AO30" i="21"/>
  <c r="AH33" i="21"/>
  <c r="AN34" i="21"/>
  <c r="Z35" i="21"/>
  <c r="AG37" i="21"/>
  <c r="AO37" i="21"/>
  <c r="AM38" i="21"/>
  <c r="AH40" i="21"/>
  <c r="AC40" i="21" s="1"/>
  <c r="AN41" i="21"/>
  <c r="AL42" i="21"/>
  <c r="AG44" i="21"/>
  <c r="AO44" i="21"/>
  <c r="Z46" i="21"/>
  <c r="AK46" i="21"/>
  <c r="AH47" i="21"/>
  <c r="AC47" i="21" s="1"/>
  <c r="AN48" i="21"/>
  <c r="AB50" i="21"/>
  <c r="AK52" i="21"/>
  <c r="Z52" i="21"/>
  <c r="AA54" i="21"/>
  <c r="AS54" i="21"/>
  <c r="AI79" i="21" s="1"/>
  <c r="AI58" i="21"/>
  <c r="AN59" i="21"/>
  <c r="AC59" i="21" s="1"/>
  <c r="AQ30" i="21"/>
  <c r="AY30" i="21"/>
  <c r="AO73" i="21" s="1"/>
  <c r="AB31" i="21"/>
  <c r="AX34" i="21"/>
  <c r="AB42" i="21"/>
  <c r="AA46" i="21"/>
  <c r="AB49" i="21"/>
  <c r="AR50" i="21"/>
  <c r="AH78" i="21" s="1"/>
  <c r="AB54" i="21"/>
  <c r="AT54" i="21"/>
  <c r="AJ79" i="21" s="1"/>
  <c r="AB55" i="21"/>
  <c r="AA56" i="21"/>
  <c r="Z81" i="21"/>
  <c r="AK81" i="21"/>
  <c r="Y63" i="21"/>
  <c r="AG63" i="21"/>
  <c r="AC64" i="21"/>
  <c r="AB65" i="21"/>
  <c r="AK78" i="21"/>
  <c r="Z78" i="21"/>
  <c r="AV54" i="21"/>
  <c r="AL79" i="21" s="1"/>
  <c r="AB63" i="21"/>
  <c r="Y65" i="21"/>
  <c r="AQ42" i="21"/>
  <c r="AQ50" i="21"/>
  <c r="AY50" i="21"/>
  <c r="AO78" i="21" s="1"/>
  <c r="Y52" i="21"/>
  <c r="AB52" i="21"/>
  <c r="AN52" i="21"/>
  <c r="AK53" i="21"/>
  <c r="Z53" i="21"/>
  <c r="AY54" i="21"/>
  <c r="AO79" i="21" s="1"/>
  <c r="Z56" i="21"/>
  <c r="Y58" i="21"/>
  <c r="AR58" i="21"/>
  <c r="AH80" i="21" s="1"/>
  <c r="AC61" i="21"/>
  <c r="AG81" i="21"/>
  <c r="AC65" i="21"/>
  <c r="AR54" i="21"/>
  <c r="AH79" i="21" s="1"/>
  <c r="AA55" i="21"/>
  <c r="AN55" i="21"/>
  <c r="AC55" i="21" s="1"/>
  <c r="AT58" i="21"/>
  <c r="AJ80" i="21" s="1"/>
  <c r="Z58" i="21"/>
  <c r="AB62" i="21"/>
  <c r="Y62" i="21"/>
  <c r="AG62" i="21"/>
  <c r="AC62" i="21" s="1"/>
  <c r="AK82" i="21"/>
  <c r="AC82" i="21" s="1"/>
  <c r="AS50" i="21"/>
  <c r="AI78" i="21" s="1"/>
  <c r="Y54" i="21"/>
  <c r="AA58" i="21"/>
  <c r="AU58" i="21"/>
  <c r="Y61" i="21"/>
  <c r="AT62" i="21"/>
  <c r="AJ81" i="21" s="1"/>
  <c r="Z63" i="21"/>
  <c r="AL63" i="21"/>
  <c r="AK60" i="21"/>
  <c r="Z60" i="21"/>
  <c r="Y50" i="21"/>
  <c r="Y57" i="21"/>
  <c r="AQ58" i="21"/>
  <c r="AB59" i="21"/>
  <c r="AX62" i="21"/>
  <c r="Y64" i="21"/>
  <c r="AA82" i="21"/>
  <c r="AA61" i="21"/>
  <c r="AB64" i="21"/>
  <c r="Z65" i="21"/>
  <c r="AA65" i="21"/>
  <c r="AN54" i="21"/>
  <c r="AC54" i="21" s="1"/>
  <c r="Z55" i="21"/>
  <c r="AM58" i="21"/>
  <c r="AL62" i="21"/>
  <c r="Z59" i="21"/>
  <c r="AI60" i="21"/>
  <c r="AM62" i="21"/>
  <c r="AO68" i="20"/>
  <c r="AK69" i="20"/>
  <c r="AC13" i="20"/>
  <c r="AA71" i="20"/>
  <c r="AN71" i="20"/>
  <c r="AC20" i="20"/>
  <c r="AH68" i="20"/>
  <c r="AN75" i="20"/>
  <c r="AA75" i="20"/>
  <c r="AG69" i="20"/>
  <c r="AC15" i="20"/>
  <c r="AC19" i="20"/>
  <c r="AK68" i="20"/>
  <c r="AL68" i="20"/>
  <c r="AC16" i="20"/>
  <c r="Y74" i="20"/>
  <c r="AG74" i="20"/>
  <c r="AW10" i="20"/>
  <c r="Z68" i="20" s="1"/>
  <c r="AB21" i="20"/>
  <c r="AT22" i="20"/>
  <c r="AJ71" i="20" s="1"/>
  <c r="AK72" i="20"/>
  <c r="AG10" i="20"/>
  <c r="AO10" i="20"/>
  <c r="AX10" i="20"/>
  <c r="AA11" i="20"/>
  <c r="Y12" i="20"/>
  <c r="AN14" i="20"/>
  <c r="Z15" i="20"/>
  <c r="AG17" i="20"/>
  <c r="AB18" i="20"/>
  <c r="AM18" i="20"/>
  <c r="Y19" i="20"/>
  <c r="AA22" i="20"/>
  <c r="AL22" i="20"/>
  <c r="AA27" i="20"/>
  <c r="AN27" i="20"/>
  <c r="AR30" i="20"/>
  <c r="AH73" i="20" s="1"/>
  <c r="AB41" i="20"/>
  <c r="Y41" i="20"/>
  <c r="AG41" i="20"/>
  <c r="AT42" i="20"/>
  <c r="AJ76" i="20" s="1"/>
  <c r="AK77" i="20"/>
  <c r="AB48" i="20"/>
  <c r="Y48" i="20"/>
  <c r="AG48" i="20"/>
  <c r="AK78" i="20"/>
  <c r="Y15" i="20"/>
  <c r="AH10" i="20"/>
  <c r="AQ10" i="20"/>
  <c r="AB11" i="20"/>
  <c r="Z12" i="20"/>
  <c r="AG14" i="20"/>
  <c r="AO14" i="20"/>
  <c r="AA15" i="20"/>
  <c r="Y16" i="20"/>
  <c r="AN18" i="20"/>
  <c r="Z19" i="20"/>
  <c r="AB22" i="20"/>
  <c r="AC29" i="20"/>
  <c r="AK73" i="20"/>
  <c r="AS38" i="20"/>
  <c r="AI75" i="20" s="1"/>
  <c r="AB39" i="20"/>
  <c r="AK39" i="20"/>
  <c r="AC39" i="20" s="1"/>
  <c r="Z39" i="20"/>
  <c r="AV46" i="20"/>
  <c r="AL77" i="20" s="1"/>
  <c r="AU54" i="20"/>
  <c r="Z54" i="20"/>
  <c r="AI10" i="20"/>
  <c r="Y13" i="20"/>
  <c r="AH14" i="20"/>
  <c r="Z16" i="20"/>
  <c r="AG18" i="20"/>
  <c r="AO18" i="20"/>
  <c r="Y20" i="20"/>
  <c r="AN22" i="20"/>
  <c r="AX26" i="20"/>
  <c r="AK32" i="20"/>
  <c r="AC32" i="20" s="1"/>
  <c r="Z32" i="20"/>
  <c r="AC33" i="20"/>
  <c r="AK74" i="20"/>
  <c r="AY34" i="20"/>
  <c r="AO74" i="20" s="1"/>
  <c r="AB44" i="20"/>
  <c r="AW46" i="20"/>
  <c r="AM77" i="20" s="1"/>
  <c r="AC47" i="20"/>
  <c r="AI58" i="20"/>
  <c r="AS58" i="20"/>
  <c r="AI80" i="20" s="1"/>
  <c r="Y58" i="20"/>
  <c r="AU18" i="20"/>
  <c r="S83" i="20" s="1"/>
  <c r="AJ10" i="20"/>
  <c r="AG11" i="20"/>
  <c r="AC11" i="20" s="1"/>
  <c r="AB12" i="20"/>
  <c r="Z13" i="20"/>
  <c r="AI14" i="20"/>
  <c r="AA16" i="20"/>
  <c r="AJ17" i="20"/>
  <c r="AH18" i="20"/>
  <c r="AQ18" i="20"/>
  <c r="AB19" i="20"/>
  <c r="Z20" i="20"/>
  <c r="AI21" i="20"/>
  <c r="AC21" i="20" s="1"/>
  <c r="AG22" i="20"/>
  <c r="AO22" i="20"/>
  <c r="AK23" i="20"/>
  <c r="Z23" i="20"/>
  <c r="AK25" i="20"/>
  <c r="AC25" i="20" s="1"/>
  <c r="Z25" i="20"/>
  <c r="AW30" i="20"/>
  <c r="AM73" i="20" s="1"/>
  <c r="AV34" i="20"/>
  <c r="AL74" i="20" s="1"/>
  <c r="AB37" i="20"/>
  <c r="AU38" i="20"/>
  <c r="AW42" i="20"/>
  <c r="AM76" i="20" s="1"/>
  <c r="AN77" i="20"/>
  <c r="AI65" i="20"/>
  <c r="AC65" i="20" s="1"/>
  <c r="AS62" i="20"/>
  <c r="AI81" i="20" s="1"/>
  <c r="Y65" i="20"/>
  <c r="AB23" i="20"/>
  <c r="Y23" i="20"/>
  <c r="AG23" i="20"/>
  <c r="Z10" i="20"/>
  <c r="AT10" i="20"/>
  <c r="AA13" i="20"/>
  <c r="Y14" i="20"/>
  <c r="AB16" i="20"/>
  <c r="Z17" i="20"/>
  <c r="AA20" i="20"/>
  <c r="AQ22" i="20"/>
  <c r="Y33" i="20"/>
  <c r="Y40" i="20"/>
  <c r="AN76" i="20"/>
  <c r="Y47" i="20"/>
  <c r="AC64" i="20"/>
  <c r="AL10" i="20"/>
  <c r="Z14" i="20"/>
  <c r="AK14" i="20"/>
  <c r="AJ18" i="20"/>
  <c r="Z21" i="20"/>
  <c r="AI22" i="20"/>
  <c r="Y26" i="20"/>
  <c r="AB30" i="20"/>
  <c r="AA34" i="20"/>
  <c r="AB35" i="20"/>
  <c r="Y52" i="20"/>
  <c r="AB52" i="20"/>
  <c r="AG52" i="20"/>
  <c r="AC52" i="20" s="1"/>
  <c r="AV14" i="20"/>
  <c r="AL69" i="20" s="1"/>
  <c r="Z18" i="20"/>
  <c r="AA23" i="20"/>
  <c r="AB34" i="20"/>
  <c r="Y34" i="20"/>
  <c r="AG34" i="20"/>
  <c r="AA38" i="20"/>
  <c r="AN38" i="20"/>
  <c r="AA45" i="20"/>
  <c r="AN45" i="20"/>
  <c r="AC45" i="20" s="1"/>
  <c r="AK82" i="20"/>
  <c r="AN23" i="20"/>
  <c r="Y25" i="20"/>
  <c r="AH26" i="20"/>
  <c r="AQ26" i="20"/>
  <c r="AY26" i="20"/>
  <c r="AO72" i="20" s="1"/>
  <c r="AB27" i="20"/>
  <c r="Z28" i="20"/>
  <c r="AG30" i="20"/>
  <c r="AO30" i="20"/>
  <c r="AX30" i="20"/>
  <c r="Y32" i="20"/>
  <c r="AN34" i="20"/>
  <c r="AW34" i="20"/>
  <c r="AM74" i="20" s="1"/>
  <c r="Z35" i="20"/>
  <c r="AG37" i="20"/>
  <c r="AC37" i="20" s="1"/>
  <c r="AB38" i="20"/>
  <c r="AM38" i="20"/>
  <c r="AV38" i="20"/>
  <c r="AL75" i="20" s="1"/>
  <c r="Y39" i="20"/>
  <c r="AN41" i="20"/>
  <c r="AA42" i="20"/>
  <c r="AL42" i="20"/>
  <c r="AU42" i="20"/>
  <c r="AG44" i="20"/>
  <c r="AC44" i="20" s="1"/>
  <c r="AB45" i="20"/>
  <c r="Z46" i="20"/>
  <c r="AK46" i="20"/>
  <c r="AT46" i="20"/>
  <c r="AJ77" i="20" s="1"/>
  <c r="AN48" i="20"/>
  <c r="AA49" i="20"/>
  <c r="AK50" i="20"/>
  <c r="Z50" i="20"/>
  <c r="AN56" i="20"/>
  <c r="AC56" i="20" s="1"/>
  <c r="AA59" i="20"/>
  <c r="AN59" i="20"/>
  <c r="AC59" i="20" s="1"/>
  <c r="AN63" i="20"/>
  <c r="AC63" i="20" s="1"/>
  <c r="AB24" i="20"/>
  <c r="AA28" i="20"/>
  <c r="Y29" i="20"/>
  <c r="AQ30" i="20"/>
  <c r="AB31" i="20"/>
  <c r="AX34" i="20"/>
  <c r="AA35" i="20"/>
  <c r="Y36" i="20"/>
  <c r="AB42" i="20"/>
  <c r="Y43" i="20"/>
  <c r="AA46" i="20"/>
  <c r="AB49" i="20"/>
  <c r="AA52" i="20"/>
  <c r="AN52" i="20"/>
  <c r="Y59" i="20"/>
  <c r="AB59" i="20"/>
  <c r="AK61" i="20"/>
  <c r="AC61" i="20" s="1"/>
  <c r="AW62" i="20"/>
  <c r="AM81" i="20" s="1"/>
  <c r="AG24" i="20"/>
  <c r="AC24" i="20" s="1"/>
  <c r="AB25" i="20"/>
  <c r="Z26" i="20"/>
  <c r="AK26" i="20"/>
  <c r="AA29" i="20"/>
  <c r="Y30" i="20"/>
  <c r="AJ30" i="20"/>
  <c r="AG31" i="20"/>
  <c r="AB32" i="20"/>
  <c r="Z33" i="20"/>
  <c r="AI34" i="20"/>
  <c r="AA36" i="20"/>
  <c r="Y37" i="20"/>
  <c r="AQ38" i="20"/>
  <c r="AA78" i="20"/>
  <c r="AN78" i="20"/>
  <c r="AA26" i="20"/>
  <c r="AL26" i="20"/>
  <c r="AG28" i="20"/>
  <c r="AC28" i="20" s="1"/>
  <c r="AB29" i="20"/>
  <c r="Z30" i="20"/>
  <c r="AK30" i="20"/>
  <c r="AA33" i="20"/>
  <c r="AJ34" i="20"/>
  <c r="AG35" i="20"/>
  <c r="AC35" i="20" s="1"/>
  <c r="AB36" i="20"/>
  <c r="Z37" i="20"/>
  <c r="AI38" i="20"/>
  <c r="AA40" i="20"/>
  <c r="AH42" i="20"/>
  <c r="AQ42" i="20"/>
  <c r="AB43" i="20"/>
  <c r="Z44" i="20"/>
  <c r="AG46" i="20"/>
  <c r="AO46" i="20"/>
  <c r="AA47" i="20"/>
  <c r="AQ50" i="20"/>
  <c r="AG50" i="20"/>
  <c r="Y50" i="20"/>
  <c r="AY50" i="20"/>
  <c r="AO78" i="20" s="1"/>
  <c r="AO50" i="20"/>
  <c r="AW54" i="20"/>
  <c r="AM79" i="20" s="1"/>
  <c r="AT54" i="20"/>
  <c r="AJ79" i="20" s="1"/>
  <c r="AJ58" i="20"/>
  <c r="AB26" i="20"/>
  <c r="AM26" i="20"/>
  <c r="AA30" i="20"/>
  <c r="AL30" i="20"/>
  <c r="AB33" i="20"/>
  <c r="Z34" i="20"/>
  <c r="AK34" i="20"/>
  <c r="AA37" i="20"/>
  <c r="AJ38" i="20"/>
  <c r="AB40" i="20"/>
  <c r="Z41" i="20"/>
  <c r="AI42" i="20"/>
  <c r="AA44" i="20"/>
  <c r="AH46" i="20"/>
  <c r="AQ46" i="20"/>
  <c r="AB47" i="20"/>
  <c r="Z48" i="20"/>
  <c r="AR50" i="20"/>
  <c r="AH78" i="20" s="1"/>
  <c r="AH50" i="20"/>
  <c r="AX54" i="20"/>
  <c r="Y62" i="20"/>
  <c r="AN26" i="20"/>
  <c r="Z27" i="20"/>
  <c r="AM30" i="20"/>
  <c r="AL34" i="20"/>
  <c r="Z38" i="20"/>
  <c r="AK38" i="20"/>
  <c r="AJ42" i="20"/>
  <c r="Z45" i="20"/>
  <c r="AI46" i="20"/>
  <c r="AA50" i="20"/>
  <c r="Y51" i="20"/>
  <c r="AB55" i="20"/>
  <c r="Y55" i="20"/>
  <c r="AG55" i="20"/>
  <c r="AK57" i="20"/>
  <c r="AC57" i="20" s="1"/>
  <c r="Z57" i="20"/>
  <c r="AW58" i="20"/>
  <c r="AM80" i="20" s="1"/>
  <c r="AT62" i="20"/>
  <c r="AJ81" i="20" s="1"/>
  <c r="AK64" i="20"/>
  <c r="Z64" i="20"/>
  <c r="Z24" i="20"/>
  <c r="Z31" i="20"/>
  <c r="Z42" i="20"/>
  <c r="Z49" i="20"/>
  <c r="AB50" i="20"/>
  <c r="AX58" i="20"/>
  <c r="AK81" i="20"/>
  <c r="AG79" i="20"/>
  <c r="AJ50" i="20"/>
  <c r="AS50" i="20"/>
  <c r="AI78" i="20" s="1"/>
  <c r="AG51" i="20"/>
  <c r="AO51" i="20"/>
  <c r="Z53" i="20"/>
  <c r="AI54" i="20"/>
  <c r="AR54" i="20"/>
  <c r="AH79" i="20" s="1"/>
  <c r="AN55" i="20"/>
  <c r="Y57" i="20"/>
  <c r="AH58" i="20"/>
  <c r="AC58" i="20" s="1"/>
  <c r="AQ58" i="20"/>
  <c r="AY58" i="20"/>
  <c r="AO80" i="20" s="1"/>
  <c r="Z60" i="20"/>
  <c r="AG62" i="20"/>
  <c r="AO62" i="20"/>
  <c r="AX62" i="20"/>
  <c r="Y64" i="20"/>
  <c r="Y54" i="20"/>
  <c r="AB56" i="20"/>
  <c r="Y61" i="20"/>
  <c r="AQ62" i="20"/>
  <c r="AB63" i="20"/>
  <c r="AA82" i="20"/>
  <c r="AN50" i="20"/>
  <c r="Z51" i="20"/>
  <c r="AG53" i="20"/>
  <c r="AC53" i="20" s="1"/>
  <c r="AB54" i="20"/>
  <c r="AM54" i="20"/>
  <c r="AA58" i="20"/>
  <c r="AL58" i="20"/>
  <c r="AG60" i="20"/>
  <c r="AC60" i="20" s="1"/>
  <c r="AB61" i="20"/>
  <c r="Z62" i="20"/>
  <c r="AK62" i="20"/>
  <c r="AA65" i="20"/>
  <c r="AN54" i="20"/>
  <c r="Z55" i="20"/>
  <c r="AB58" i="20"/>
  <c r="AM58" i="20"/>
  <c r="AA62" i="20"/>
  <c r="AL62" i="20"/>
  <c r="AB65" i="20"/>
  <c r="Z52" i="20"/>
  <c r="AG54" i="20"/>
  <c r="AO54" i="20"/>
  <c r="AN58" i="20"/>
  <c r="Z59" i="20"/>
  <c r="AM62" i="20"/>
  <c r="Z56" i="20"/>
  <c r="Z63" i="20"/>
  <c r="AL68" i="19"/>
  <c r="AC16" i="19"/>
  <c r="AC13" i="19"/>
  <c r="AK69" i="19"/>
  <c r="AM68" i="19"/>
  <c r="Y68" i="19"/>
  <c r="AG68" i="19"/>
  <c r="AO68" i="19"/>
  <c r="AC11" i="19"/>
  <c r="AH68" i="19"/>
  <c r="Y74" i="19"/>
  <c r="AG74" i="19"/>
  <c r="AI68" i="19"/>
  <c r="AJ68" i="19"/>
  <c r="AG75" i="19"/>
  <c r="AN76" i="19"/>
  <c r="AC21" i="19"/>
  <c r="AK73" i="19"/>
  <c r="AX10" i="19"/>
  <c r="Y12" i="19"/>
  <c r="Y20" i="19"/>
  <c r="AB26" i="19"/>
  <c r="AX30" i="19"/>
  <c r="AB33" i="19"/>
  <c r="AB40" i="19"/>
  <c r="AB43" i="19"/>
  <c r="AY46" i="19"/>
  <c r="AO77" i="19" s="1"/>
  <c r="AB49" i="19"/>
  <c r="Y49" i="19"/>
  <c r="AA78" i="19"/>
  <c r="AN78" i="19"/>
  <c r="AH10" i="19"/>
  <c r="AB11" i="19"/>
  <c r="Z12" i="19"/>
  <c r="AG14" i="19"/>
  <c r="AO14" i="19"/>
  <c r="AA15" i="19"/>
  <c r="Y16" i="19"/>
  <c r="AS18" i="19"/>
  <c r="AI70" i="19" s="1"/>
  <c r="AB20" i="19"/>
  <c r="AR22" i="19"/>
  <c r="AH71" i="19" s="1"/>
  <c r="Y25" i="19"/>
  <c r="AN25" i="19"/>
  <c r="AW26" i="19"/>
  <c r="AM72" i="19" s="1"/>
  <c r="AU26" i="19"/>
  <c r="AB29" i="19"/>
  <c r="AQ30" i="19"/>
  <c r="AY30" i="19"/>
  <c r="AO73" i="19" s="1"/>
  <c r="AK30" i="19"/>
  <c r="Y32" i="19"/>
  <c r="AN32" i="19"/>
  <c r="Y34" i="19"/>
  <c r="AB36" i="19"/>
  <c r="AB37" i="19"/>
  <c r="AK37" i="19"/>
  <c r="AU38" i="19"/>
  <c r="AG38" i="19"/>
  <c r="AS38" i="19"/>
  <c r="AI75" i="19" s="1"/>
  <c r="Y39" i="19"/>
  <c r="AN39" i="19"/>
  <c r="AR46" i="19"/>
  <c r="AH77" i="19" s="1"/>
  <c r="AK47" i="19"/>
  <c r="AC47" i="19" s="1"/>
  <c r="AG50" i="19"/>
  <c r="AQ50" i="19"/>
  <c r="AB50" i="19"/>
  <c r="Y50" i="19"/>
  <c r="AH54" i="19"/>
  <c r="AR54" i="19"/>
  <c r="AH79" i="19" s="1"/>
  <c r="AN81" i="19"/>
  <c r="AA81" i="19"/>
  <c r="Y64" i="19"/>
  <c r="AW14" i="19"/>
  <c r="AM69" i="19" s="1"/>
  <c r="AK78" i="19"/>
  <c r="AI10" i="19"/>
  <c r="AA12" i="19"/>
  <c r="Y13" i="19"/>
  <c r="AH14" i="19"/>
  <c r="AQ14" i="19"/>
  <c r="AB15" i="19"/>
  <c r="Z16" i="19"/>
  <c r="AI17" i="19"/>
  <c r="AC17" i="19" s="1"/>
  <c r="AT18" i="19"/>
  <c r="AJ70" i="19" s="1"/>
  <c r="Y19" i="19"/>
  <c r="Y21" i="19"/>
  <c r="AM21" i="19"/>
  <c r="AB22" i="19"/>
  <c r="AT22" i="19"/>
  <c r="AJ71" i="19" s="1"/>
  <c r="Z23" i="19"/>
  <c r="AX26" i="19"/>
  <c r="AV26" i="19"/>
  <c r="AL72" i="19" s="1"/>
  <c r="AN28" i="19"/>
  <c r="AC28" i="19" s="1"/>
  <c r="Z34" i="19"/>
  <c r="AR34" i="19"/>
  <c r="AH74" i="19" s="1"/>
  <c r="AN35" i="19"/>
  <c r="AC35" i="19" s="1"/>
  <c r="AV38" i="19"/>
  <c r="AL75" i="19" s="1"/>
  <c r="Z41" i="19"/>
  <c r="AY42" i="19"/>
  <c r="AO76" i="19" s="1"/>
  <c r="AI45" i="19"/>
  <c r="AS46" i="19"/>
  <c r="AI77" i="19" s="1"/>
  <c r="Z46" i="19"/>
  <c r="AI48" i="19"/>
  <c r="AH50" i="19"/>
  <c r="AR50" i="19"/>
  <c r="AH78" i="19" s="1"/>
  <c r="AB18" i="19"/>
  <c r="AB12" i="19"/>
  <c r="Z13" i="19"/>
  <c r="AA16" i="19"/>
  <c r="Y17" i="19"/>
  <c r="AQ18" i="19"/>
  <c r="AK71" i="19"/>
  <c r="AB24" i="19"/>
  <c r="Y24" i="19"/>
  <c r="AK25" i="19"/>
  <c r="Z25" i="19"/>
  <c r="AB25" i="19"/>
  <c r="AY26" i="19"/>
  <c r="AO72" i="19" s="1"/>
  <c r="Y30" i="19"/>
  <c r="AB31" i="19"/>
  <c r="Y31" i="19"/>
  <c r="AK32" i="19"/>
  <c r="Z32" i="19"/>
  <c r="AB32" i="19"/>
  <c r="AC33" i="19"/>
  <c r="AK74" i="19"/>
  <c r="Y37" i="19"/>
  <c r="AN75" i="19"/>
  <c r="AK39" i="19"/>
  <c r="AC39" i="19" s="1"/>
  <c r="Z39" i="19"/>
  <c r="AB39" i="19"/>
  <c r="AK40" i="19"/>
  <c r="AC40" i="19" s="1"/>
  <c r="AB42" i="19"/>
  <c r="Y42" i="19"/>
  <c r="AK43" i="19"/>
  <c r="AC43" i="19" s="1"/>
  <c r="AN45" i="19"/>
  <c r="AA45" i="19"/>
  <c r="AB46" i="19"/>
  <c r="AQ46" i="19"/>
  <c r="Y47" i="19"/>
  <c r="AG49" i="19"/>
  <c r="Y10" i="19"/>
  <c r="AY18" i="19"/>
  <c r="AO70" i="19" s="1"/>
  <c r="AU18" i="19"/>
  <c r="Z10" i="19"/>
  <c r="AK10" i="19"/>
  <c r="AA13" i="19"/>
  <c r="AJ14" i="19"/>
  <c r="AG15" i="19"/>
  <c r="AC15" i="19" s="1"/>
  <c r="AB16" i="19"/>
  <c r="Z17" i="19"/>
  <c r="AR18" i="19"/>
  <c r="AH70" i="19" s="1"/>
  <c r="AH18" i="19"/>
  <c r="AC18" i="19" s="1"/>
  <c r="AK18" i="19"/>
  <c r="AV18" i="19"/>
  <c r="AL70" i="19" s="1"/>
  <c r="AA19" i="19"/>
  <c r="Z21" i="19"/>
  <c r="AV22" i="19"/>
  <c r="AL71" i="19" s="1"/>
  <c r="AO24" i="19"/>
  <c r="AR26" i="19"/>
  <c r="AH72" i="19" s="1"/>
  <c r="AN27" i="19"/>
  <c r="AA27" i="19"/>
  <c r="AB28" i="19"/>
  <c r="Z30" i="19"/>
  <c r="AR30" i="19"/>
  <c r="AH73" i="19" s="1"/>
  <c r="AO31" i="19"/>
  <c r="AV34" i="19"/>
  <c r="AL74" i="19" s="1"/>
  <c r="AB35" i="19"/>
  <c r="AN38" i="19"/>
  <c r="AA38" i="19"/>
  <c r="AY38" i="19"/>
  <c r="AO75" i="19" s="1"/>
  <c r="AA44" i="19"/>
  <c r="AU46" i="19"/>
  <c r="AT46" i="19"/>
  <c r="AJ77" i="19" s="1"/>
  <c r="AA48" i="19"/>
  <c r="AS62" i="19"/>
  <c r="AI81" i="19" s="1"/>
  <c r="AA10" i="19"/>
  <c r="AL10" i="19"/>
  <c r="AU10" i="19"/>
  <c r="AI11" i="19"/>
  <c r="AB13" i="19"/>
  <c r="Z14" i="19"/>
  <c r="AK14" i="19"/>
  <c r="AA17" i="19"/>
  <c r="Y18" i="19"/>
  <c r="AG19" i="19"/>
  <c r="AC19" i="19" s="1"/>
  <c r="AN20" i="19"/>
  <c r="AC20" i="19" s="1"/>
  <c r="AA20" i="19"/>
  <c r="AB21" i="19"/>
  <c r="Y26" i="19"/>
  <c r="AA30" i="19"/>
  <c r="AS30" i="19"/>
  <c r="AI73" i="19" s="1"/>
  <c r="Y33" i="19"/>
  <c r="AW34" i="19"/>
  <c r="AM74" i="19" s="1"/>
  <c r="AA37" i="19"/>
  <c r="Y40" i="19"/>
  <c r="AQ42" i="19"/>
  <c r="AC44" i="19"/>
  <c r="AG46" i="19"/>
  <c r="AV46" i="19"/>
  <c r="AL77" i="19" s="1"/>
  <c r="AG48" i="19"/>
  <c r="AC48" i="19" s="1"/>
  <c r="AB48" i="19"/>
  <c r="AI57" i="19"/>
  <c r="AC57" i="19" s="1"/>
  <c r="AB57" i="19"/>
  <c r="Y57" i="19"/>
  <c r="AK80" i="19"/>
  <c r="AM10" i="19"/>
  <c r="AL14" i="19"/>
  <c r="AX18" i="19"/>
  <c r="AA23" i="19"/>
  <c r="AQ26" i="19"/>
  <c r="AM29" i="19"/>
  <c r="AC29" i="19" s="1"/>
  <c r="AV30" i="19"/>
  <c r="AL73" i="19" s="1"/>
  <c r="AX34" i="19"/>
  <c r="AY34" i="19"/>
  <c r="AO74" i="19" s="1"/>
  <c r="AM36" i="19"/>
  <c r="AC37" i="19"/>
  <c r="AA41" i="19"/>
  <c r="AT42" i="19"/>
  <c r="AJ76" i="19" s="1"/>
  <c r="AR42" i="19"/>
  <c r="AH76" i="19" s="1"/>
  <c r="Y43" i="19"/>
  <c r="AB47" i="19"/>
  <c r="AK52" i="19"/>
  <c r="Z52" i="19"/>
  <c r="AB52" i="19"/>
  <c r="Z11" i="19"/>
  <c r="AB14" i="19"/>
  <c r="AG23" i="19"/>
  <c r="AC23" i="19" s="1"/>
  <c r="AB23" i="19"/>
  <c r="AK24" i="19"/>
  <c r="Z24" i="19"/>
  <c r="AG24" i="19"/>
  <c r="AC24" i="19" s="1"/>
  <c r="AA26" i="19"/>
  <c r="Y29" i="19"/>
  <c r="AK31" i="19"/>
  <c r="Z31" i="19"/>
  <c r="AG31" i="19"/>
  <c r="AC31" i="19" s="1"/>
  <c r="AA33" i="19"/>
  <c r="AG34" i="19"/>
  <c r="AB34" i="19"/>
  <c r="Y36" i="19"/>
  <c r="Y38" i="19"/>
  <c r="AG41" i="19"/>
  <c r="AC41" i="19" s="1"/>
  <c r="AB41" i="19"/>
  <c r="AK42" i="19"/>
  <c r="AC42" i="19" s="1"/>
  <c r="Z42" i="19"/>
  <c r="AU42" i="19"/>
  <c r="AA46" i="19"/>
  <c r="AX46" i="19"/>
  <c r="AN49" i="19"/>
  <c r="AA49" i="19"/>
  <c r="AW50" i="19"/>
  <c r="AM78" i="19" s="1"/>
  <c r="AM50" i="19"/>
  <c r="AA79" i="19"/>
  <c r="AN79" i="19"/>
  <c r="Y80" i="19"/>
  <c r="AG80" i="19"/>
  <c r="Z20" i="19"/>
  <c r="AG22" i="19"/>
  <c r="AO22" i="19"/>
  <c r="AN26" i="19"/>
  <c r="AC26" i="19" s="1"/>
  <c r="Z27" i="19"/>
  <c r="AB30" i="19"/>
  <c r="AM30" i="19"/>
  <c r="AA34" i="19"/>
  <c r="AL34" i="19"/>
  <c r="Z38" i="19"/>
  <c r="AK38" i="19"/>
  <c r="AJ42" i="19"/>
  <c r="Z45" i="19"/>
  <c r="AI46" i="19"/>
  <c r="AS54" i="19"/>
  <c r="AI79" i="19" s="1"/>
  <c r="AK56" i="19"/>
  <c r="AC56" i="19" s="1"/>
  <c r="Z56" i="19"/>
  <c r="AN80" i="19"/>
  <c r="AY58" i="19"/>
  <c r="AO80" i="19" s="1"/>
  <c r="AK63" i="19"/>
  <c r="Z63" i="19"/>
  <c r="Z49" i="19"/>
  <c r="AT50" i="19"/>
  <c r="AJ78" i="19" s="1"/>
  <c r="AA50" i="19"/>
  <c r="AN51" i="19"/>
  <c r="AG58" i="19"/>
  <c r="AB58" i="19"/>
  <c r="Y58" i="19"/>
  <c r="Y60" i="19"/>
  <c r="Z81" i="19"/>
  <c r="AK81" i="19"/>
  <c r="AG65" i="19"/>
  <c r="AB65" i="19"/>
  <c r="Y65" i="19"/>
  <c r="AK50" i="19"/>
  <c r="Z50" i="19"/>
  <c r="AU54" i="19"/>
  <c r="AK54" i="19"/>
  <c r="Z54" i="19"/>
  <c r="AR58" i="19"/>
  <c r="AH80" i="19" s="1"/>
  <c r="Y22" i="19"/>
  <c r="AB51" i="19"/>
  <c r="Y52" i="19"/>
  <c r="AG52" i="19"/>
  <c r="AB59" i="19"/>
  <c r="AC64" i="19"/>
  <c r="Y51" i="19"/>
  <c r="AN62" i="19"/>
  <c r="AA62" i="19"/>
  <c r="AI82" i="19"/>
  <c r="AC82" i="19" s="1"/>
  <c r="Y53" i="19"/>
  <c r="AG79" i="19"/>
  <c r="AC61" i="19"/>
  <c r="AB62" i="19"/>
  <c r="AH51" i="19"/>
  <c r="Y54" i="19"/>
  <c r="AJ54" i="19"/>
  <c r="AG55" i="19"/>
  <c r="AO55" i="19"/>
  <c r="Z57" i="19"/>
  <c r="AI58" i="19"/>
  <c r="Y61" i="19"/>
  <c r="AH62" i="19"/>
  <c r="Z64" i="19"/>
  <c r="AA82" i="19"/>
  <c r="AB53" i="19"/>
  <c r="AH55" i="19"/>
  <c r="AA57" i="19"/>
  <c r="AJ58" i="19"/>
  <c r="AG59" i="19"/>
  <c r="AO59" i="19"/>
  <c r="AB60" i="19"/>
  <c r="Z61" i="19"/>
  <c r="AI62" i="19"/>
  <c r="AR62" i="19"/>
  <c r="AH81" i="19" s="1"/>
  <c r="AA64" i="19"/>
  <c r="AB82" i="19"/>
  <c r="Y62" i="19"/>
  <c r="AB64" i="19"/>
  <c r="Z51" i="19"/>
  <c r="AB54" i="19"/>
  <c r="AA58" i="19"/>
  <c r="AB61" i="19"/>
  <c r="Z62" i="19"/>
  <c r="AA65" i="19"/>
  <c r="AN54" i="19"/>
  <c r="Z55" i="19"/>
  <c r="AI56" i="19"/>
  <c r="AM58" i="19"/>
  <c r="AL62" i="19"/>
  <c r="AI63" i="19"/>
  <c r="AC63" i="19" s="1"/>
  <c r="AG54" i="19"/>
  <c r="AO54" i="19"/>
  <c r="AN58" i="19"/>
  <c r="Z59" i="19"/>
  <c r="AI60" i="19"/>
  <c r="AC60" i="19" s="1"/>
  <c r="AM62" i="19"/>
  <c r="AB10" i="15"/>
  <c r="Y10" i="15"/>
  <c r="AO82" i="15"/>
  <c r="AM82" i="15"/>
  <c r="AI82" i="15"/>
  <c r="AO65" i="15"/>
  <c r="AN65" i="15"/>
  <c r="AM65" i="15"/>
  <c r="AK65" i="15"/>
  <c r="AH65" i="15"/>
  <c r="AA65" i="15"/>
  <c r="AJ65" i="15"/>
  <c r="AI65" i="15"/>
  <c r="AO64" i="15"/>
  <c r="AN64" i="15"/>
  <c r="AM64" i="15"/>
  <c r="AK64" i="15"/>
  <c r="AA64" i="15"/>
  <c r="AL64" i="15"/>
  <c r="AJ64" i="15"/>
  <c r="AI64" i="15"/>
  <c r="AH64" i="15"/>
  <c r="AO63" i="15"/>
  <c r="AN63" i="15"/>
  <c r="AM63" i="15"/>
  <c r="AK63" i="15"/>
  <c r="AA63" i="15"/>
  <c r="Z63" i="15"/>
  <c r="AL63" i="15"/>
  <c r="AJ63" i="15"/>
  <c r="AH63" i="15"/>
  <c r="AG63" i="15"/>
  <c r="AY62" i="15"/>
  <c r="AO81" i="15" s="1"/>
  <c r="AX62" i="15"/>
  <c r="AW62" i="15"/>
  <c r="AM81" i="15" s="1"/>
  <c r="AU62" i="15"/>
  <c r="AK81" i="15" s="1"/>
  <c r="AO62" i="15"/>
  <c r="AN62" i="15"/>
  <c r="AM62" i="15"/>
  <c r="AK62" i="15"/>
  <c r="AA62" i="15"/>
  <c r="AV62" i="15"/>
  <c r="AL81" i="15" s="1"/>
  <c r="AI62" i="15"/>
  <c r="AR62" i="15"/>
  <c r="AH81" i="15" s="1"/>
  <c r="AO61" i="15"/>
  <c r="AN61" i="15"/>
  <c r="AM61" i="15"/>
  <c r="AK61" i="15"/>
  <c r="AA61" i="15"/>
  <c r="AL61" i="15"/>
  <c r="AJ61" i="15"/>
  <c r="AI61" i="15"/>
  <c r="AH61" i="15"/>
  <c r="AG61" i="15"/>
  <c r="AO60" i="15"/>
  <c r="AN60" i="15"/>
  <c r="AM60" i="15"/>
  <c r="AK60" i="15"/>
  <c r="AA60" i="15"/>
  <c r="AL60" i="15"/>
  <c r="AJ60" i="15"/>
  <c r="AI60" i="15"/>
  <c r="AH60" i="15"/>
  <c r="AO59" i="15"/>
  <c r="AN59" i="15"/>
  <c r="AM59" i="15"/>
  <c r="AK59" i="15"/>
  <c r="AA59" i="15"/>
  <c r="AL59" i="15"/>
  <c r="AJ59" i="15"/>
  <c r="AI59" i="15"/>
  <c r="AH59" i="15"/>
  <c r="AG59" i="15"/>
  <c r="AY58" i="15"/>
  <c r="AO80" i="15" s="1"/>
  <c r="AX58" i="15"/>
  <c r="AW58" i="15"/>
  <c r="AM80" i="15" s="1"/>
  <c r="AU58" i="15"/>
  <c r="AK80" i="15" s="1"/>
  <c r="AO58" i="15"/>
  <c r="AN58" i="15"/>
  <c r="AM58" i="15"/>
  <c r="AK58" i="15"/>
  <c r="AA58" i="15"/>
  <c r="AL58" i="15"/>
  <c r="AT58" i="15"/>
  <c r="AJ80" i="15" s="1"/>
  <c r="AI58" i="15"/>
  <c r="AB58" i="15"/>
  <c r="AO57" i="15"/>
  <c r="AN57" i="15"/>
  <c r="AM57" i="15"/>
  <c r="AK57" i="15"/>
  <c r="AA57" i="15"/>
  <c r="AL57" i="15"/>
  <c r="AJ57" i="15"/>
  <c r="AI57" i="15"/>
  <c r="AH57" i="15"/>
  <c r="AO56" i="15"/>
  <c r="AN56" i="15"/>
  <c r="AM56" i="15"/>
  <c r="AK56" i="15"/>
  <c r="AA56" i="15"/>
  <c r="AL56" i="15"/>
  <c r="AJ56" i="15"/>
  <c r="AI56" i="15"/>
  <c r="AG56" i="15"/>
  <c r="AO55" i="15"/>
  <c r="AN55" i="15"/>
  <c r="AM55" i="15"/>
  <c r="AK55" i="15"/>
  <c r="AA55" i="15"/>
  <c r="AL55" i="15"/>
  <c r="AJ55" i="15"/>
  <c r="AI55" i="15"/>
  <c r="AH55" i="15"/>
  <c r="AY54" i="15"/>
  <c r="AO79" i="15" s="1"/>
  <c r="AX54" i="15"/>
  <c r="AW54" i="15"/>
  <c r="AM79" i="15" s="1"/>
  <c r="AU54" i="15"/>
  <c r="AO54" i="15"/>
  <c r="AN54" i="15"/>
  <c r="AM54" i="15"/>
  <c r="AK54" i="15"/>
  <c r="AA54" i="15"/>
  <c r="AV54" i="15"/>
  <c r="AL79" i="15" s="1"/>
  <c r="AJ54" i="15"/>
  <c r="AI54" i="15"/>
  <c r="AG54" i="15"/>
  <c r="AO53" i="15"/>
  <c r="AN53" i="15"/>
  <c r="AM53" i="15"/>
  <c r="AK53" i="15"/>
  <c r="AA53" i="15"/>
  <c r="Z53" i="15"/>
  <c r="AL53" i="15"/>
  <c r="AJ53" i="15"/>
  <c r="AI53" i="15"/>
  <c r="AH53" i="15"/>
  <c r="AO52" i="15"/>
  <c r="AN52" i="15"/>
  <c r="AM52" i="15"/>
  <c r="AK52" i="15"/>
  <c r="AA52" i="15"/>
  <c r="Z52" i="15"/>
  <c r="AJ52" i="15"/>
  <c r="AI52" i="15"/>
  <c r="AH52" i="15"/>
  <c r="AG52" i="15"/>
  <c r="AO51" i="15"/>
  <c r="AN51" i="15"/>
  <c r="AM51" i="15"/>
  <c r="AK51" i="15"/>
  <c r="AH51" i="15"/>
  <c r="AA51" i="15"/>
  <c r="AL51" i="15"/>
  <c r="AJ51" i="15"/>
  <c r="AI51" i="15"/>
  <c r="AG51" i="15"/>
  <c r="AY50" i="15"/>
  <c r="AO78" i="15" s="1"/>
  <c r="AX50" i="15"/>
  <c r="AW50" i="15"/>
  <c r="AM78" i="15" s="1"/>
  <c r="AU50" i="15"/>
  <c r="AO50" i="15"/>
  <c r="AN50" i="15"/>
  <c r="AM50" i="15"/>
  <c r="AK50" i="15"/>
  <c r="AA50" i="15"/>
  <c r="Z50" i="15"/>
  <c r="AJ50" i="15"/>
  <c r="AR50" i="15"/>
  <c r="AH78" i="15" s="1"/>
  <c r="AO49" i="15"/>
  <c r="AN49" i="15"/>
  <c r="AM49" i="15"/>
  <c r="AK49" i="15"/>
  <c r="AA49" i="15"/>
  <c r="AL49" i="15"/>
  <c r="AJ49" i="15"/>
  <c r="AI49" i="15"/>
  <c r="Z49" i="15"/>
  <c r="AO48" i="15"/>
  <c r="AN48" i="15"/>
  <c r="AM48" i="15"/>
  <c r="AK48" i="15"/>
  <c r="AH48" i="15"/>
  <c r="AA48" i="15"/>
  <c r="AL48" i="15"/>
  <c r="AJ48" i="15"/>
  <c r="AI48" i="15"/>
  <c r="AG48" i="15"/>
  <c r="AO47" i="15"/>
  <c r="AN47" i="15"/>
  <c r="AM47" i="15"/>
  <c r="AK47" i="15"/>
  <c r="AA47" i="15"/>
  <c r="AL47" i="15"/>
  <c r="AJ47" i="15"/>
  <c r="AI47" i="15"/>
  <c r="AY46" i="15"/>
  <c r="AO77" i="15" s="1"/>
  <c r="AX46" i="15"/>
  <c r="AW46" i="15"/>
  <c r="AM77" i="15" s="1"/>
  <c r="AU46" i="15"/>
  <c r="AK77" i="15" s="1"/>
  <c r="AO46" i="15"/>
  <c r="AN46" i="15"/>
  <c r="AM46" i="15"/>
  <c r="AK46" i="15"/>
  <c r="AA46" i="15"/>
  <c r="AV46" i="15"/>
  <c r="AL77" i="15" s="1"/>
  <c r="AT46" i="15"/>
  <c r="AJ77" i="15" s="1"/>
  <c r="AR46" i="15"/>
  <c r="AH77" i="15" s="1"/>
  <c r="AQ46" i="15"/>
  <c r="AO45" i="15"/>
  <c r="AN45" i="15"/>
  <c r="AM45" i="15"/>
  <c r="AK45" i="15"/>
  <c r="AI45" i="15"/>
  <c r="AA45" i="15"/>
  <c r="AL45" i="15"/>
  <c r="AJ45" i="15"/>
  <c r="AH45" i="15"/>
  <c r="AG45" i="15"/>
  <c r="AO44" i="15"/>
  <c r="AN44" i="15"/>
  <c r="AM44" i="15"/>
  <c r="AK44" i="15"/>
  <c r="AA44" i="15"/>
  <c r="AL44" i="15"/>
  <c r="AJ44" i="15"/>
  <c r="AI44" i="15"/>
  <c r="AO43" i="15"/>
  <c r="AN43" i="15"/>
  <c r="AM43" i="15"/>
  <c r="AK43" i="15"/>
  <c r="AH43" i="15"/>
  <c r="AA43" i="15"/>
  <c r="AL43" i="15"/>
  <c r="AJ43" i="15"/>
  <c r="Z43" i="15"/>
  <c r="AY42" i="15"/>
  <c r="AO76" i="15" s="1"/>
  <c r="AX42" i="15"/>
  <c r="AW42" i="15"/>
  <c r="AM76" i="15" s="1"/>
  <c r="AU42" i="15"/>
  <c r="AR42" i="15"/>
  <c r="AH76" i="15" s="1"/>
  <c r="AO42" i="15"/>
  <c r="AN42" i="15"/>
  <c r="AM42" i="15"/>
  <c r="AK42" i="15"/>
  <c r="AA42" i="15"/>
  <c r="AL42" i="15"/>
  <c r="AT42" i="15"/>
  <c r="AJ76" i="15" s="1"/>
  <c r="AS42" i="15"/>
  <c r="AI76" i="15" s="1"/>
  <c r="AH42" i="15"/>
  <c r="AO41" i="15"/>
  <c r="AN41" i="15"/>
  <c r="AM41" i="15"/>
  <c r="AK41" i="15"/>
  <c r="AJ41" i="15"/>
  <c r="AA41" i="15"/>
  <c r="AL41" i="15"/>
  <c r="AI41" i="15"/>
  <c r="AB41" i="15"/>
  <c r="AO40" i="15"/>
  <c r="AN40" i="15"/>
  <c r="AM40" i="15"/>
  <c r="AK40" i="15"/>
  <c r="AA40" i="15"/>
  <c r="AL40" i="15"/>
  <c r="AJ40" i="15"/>
  <c r="AH40" i="15"/>
  <c r="AG40" i="15"/>
  <c r="AO39" i="15"/>
  <c r="AN39" i="15"/>
  <c r="AM39" i="15"/>
  <c r="AK39" i="15"/>
  <c r="AA39" i="15"/>
  <c r="AL39" i="15"/>
  <c r="AI39" i="15"/>
  <c r="AH39" i="15"/>
  <c r="AG39" i="15"/>
  <c r="AY38" i="15"/>
  <c r="AO75" i="15" s="1"/>
  <c r="AX38" i="15"/>
  <c r="AW38" i="15"/>
  <c r="AM75" i="15" s="1"/>
  <c r="AU38" i="15"/>
  <c r="AO38" i="15"/>
  <c r="AN38" i="15"/>
  <c r="AM38" i="15"/>
  <c r="AK38" i="15"/>
  <c r="AA38" i="15"/>
  <c r="AL38" i="15"/>
  <c r="AJ38" i="15"/>
  <c r="AI38" i="15"/>
  <c r="AO37" i="15"/>
  <c r="AN37" i="15"/>
  <c r="AM37" i="15"/>
  <c r="AK37" i="15"/>
  <c r="AJ37" i="15"/>
  <c r="AA37" i="15"/>
  <c r="AL37" i="15"/>
  <c r="AH37" i="15"/>
  <c r="AG37" i="15"/>
  <c r="AO36" i="15"/>
  <c r="AN36" i="15"/>
  <c r="AM36" i="15"/>
  <c r="AK36" i="15"/>
  <c r="AA36" i="15"/>
  <c r="AJ36" i="15"/>
  <c r="AI36" i="15"/>
  <c r="AH36" i="15"/>
  <c r="AO35" i="15"/>
  <c r="AN35" i="15"/>
  <c r="AM35" i="15"/>
  <c r="AK35" i="15"/>
  <c r="AI35" i="15"/>
  <c r="AA35" i="15"/>
  <c r="AL35" i="15"/>
  <c r="AJ35" i="15"/>
  <c r="AH35" i="15"/>
  <c r="AY34" i="15"/>
  <c r="AO74" i="15" s="1"/>
  <c r="AX34" i="15"/>
  <c r="AW34" i="15"/>
  <c r="AM74" i="15" s="1"/>
  <c r="AU34" i="15"/>
  <c r="AT34" i="15"/>
  <c r="AJ74" i="15" s="1"/>
  <c r="AO34" i="15"/>
  <c r="AN34" i="15"/>
  <c r="AM34" i="15"/>
  <c r="AK34" i="15"/>
  <c r="AH34" i="15"/>
  <c r="AA34" i="15"/>
  <c r="AJ34" i="15"/>
  <c r="AS34" i="15"/>
  <c r="AI74" i="15" s="1"/>
  <c r="AG34" i="15"/>
  <c r="AO33" i="15"/>
  <c r="AN33" i="15"/>
  <c r="AM33" i="15"/>
  <c r="AK33" i="15"/>
  <c r="AA33" i="15"/>
  <c r="AL33" i="15"/>
  <c r="AJ33" i="15"/>
  <c r="AI33" i="15"/>
  <c r="AH33" i="15"/>
  <c r="AG33" i="15"/>
  <c r="AO32" i="15"/>
  <c r="AN32" i="15"/>
  <c r="AM32" i="15"/>
  <c r="AK32" i="15"/>
  <c r="AA32" i="15"/>
  <c r="AL32" i="15"/>
  <c r="AJ32" i="15"/>
  <c r="AI32" i="15"/>
  <c r="AH32" i="15"/>
  <c r="AO31" i="15"/>
  <c r="AN31" i="15"/>
  <c r="AM31" i="15"/>
  <c r="AK31" i="15"/>
  <c r="AA31" i="15"/>
  <c r="AJ31" i="15"/>
  <c r="AI31" i="15"/>
  <c r="AH31" i="15"/>
  <c r="Y31" i="15"/>
  <c r="AY30" i="15"/>
  <c r="AO73" i="15" s="1"/>
  <c r="AX30" i="15"/>
  <c r="AW30" i="15"/>
  <c r="AM73" i="15" s="1"/>
  <c r="AU30" i="15"/>
  <c r="AK73" i="15" s="1"/>
  <c r="AO30" i="15"/>
  <c r="AN30" i="15"/>
  <c r="AM30" i="15"/>
  <c r="AK30" i="15"/>
  <c r="AH30" i="15"/>
  <c r="AA30" i="15"/>
  <c r="AL30" i="15"/>
  <c r="AS30" i="15"/>
  <c r="AI73" i="15" s="1"/>
  <c r="AR30" i="15"/>
  <c r="AH73" i="15" s="1"/>
  <c r="AO29" i="15"/>
  <c r="AN29" i="15"/>
  <c r="AM29" i="15"/>
  <c r="AK29" i="15"/>
  <c r="AA29" i="15"/>
  <c r="AL29" i="15"/>
  <c r="AJ29" i="15"/>
  <c r="AI29" i="15"/>
  <c r="AH29" i="15"/>
  <c r="AO28" i="15"/>
  <c r="AN28" i="15"/>
  <c r="AM28" i="15"/>
  <c r="AK28" i="15"/>
  <c r="AJ28" i="15"/>
  <c r="AA28" i="15"/>
  <c r="AL28" i="15"/>
  <c r="AI28" i="15"/>
  <c r="AH28" i="15"/>
  <c r="AG28" i="15"/>
  <c r="AO27" i="15"/>
  <c r="AN27" i="15"/>
  <c r="AM27" i="15"/>
  <c r="AL27" i="15"/>
  <c r="AK27" i="15"/>
  <c r="AA27" i="15"/>
  <c r="AJ27" i="15"/>
  <c r="AI27" i="15"/>
  <c r="AH27" i="15"/>
  <c r="AG27" i="15"/>
  <c r="AY26" i="15"/>
  <c r="AO72" i="15" s="1"/>
  <c r="AX26" i="15"/>
  <c r="AW26" i="15"/>
  <c r="AM72" i="15" s="1"/>
  <c r="AU26" i="15"/>
  <c r="AO26" i="15"/>
  <c r="AN26" i="15"/>
  <c r="AM26" i="15"/>
  <c r="AK26" i="15"/>
  <c r="AA26" i="15"/>
  <c r="AV26" i="15"/>
  <c r="AL72" i="15" s="1"/>
  <c r="AS26" i="15"/>
  <c r="AI72" i="15" s="1"/>
  <c r="AH26" i="15"/>
  <c r="AB26" i="15"/>
  <c r="AO25" i="15"/>
  <c r="AN25" i="15"/>
  <c r="AM25" i="15"/>
  <c r="AK25" i="15"/>
  <c r="AI25" i="15"/>
  <c r="AA25" i="15"/>
  <c r="AL25" i="15"/>
  <c r="AJ25" i="15"/>
  <c r="AH25" i="15"/>
  <c r="AG25" i="15"/>
  <c r="AO24" i="15"/>
  <c r="AN24" i="15"/>
  <c r="AM24" i="15"/>
  <c r="AK24" i="15"/>
  <c r="AA24" i="15"/>
  <c r="AL24" i="15"/>
  <c r="AJ24" i="15"/>
  <c r="AH24" i="15"/>
  <c r="AG24" i="15"/>
  <c r="AO23" i="15"/>
  <c r="AN23" i="15"/>
  <c r="AM23" i="15"/>
  <c r="AK23" i="15"/>
  <c r="AA23" i="15"/>
  <c r="AL23" i="15"/>
  <c r="AJ23" i="15"/>
  <c r="AI23" i="15"/>
  <c r="AH23" i="15"/>
  <c r="Y23" i="15"/>
  <c r="AY22" i="15"/>
  <c r="AO71" i="15" s="1"/>
  <c r="AX22" i="15"/>
  <c r="AW22" i="15"/>
  <c r="AM71" i="15" s="1"/>
  <c r="AU22" i="15"/>
  <c r="AO22" i="15"/>
  <c r="AN22" i="15"/>
  <c r="AM22" i="15"/>
  <c r="AK22" i="15"/>
  <c r="AA22" i="15"/>
  <c r="AJ22" i="15"/>
  <c r="AS22" i="15"/>
  <c r="AI71" i="15" s="1"/>
  <c r="AR22" i="15"/>
  <c r="AH71" i="15" s="1"/>
  <c r="AQ22" i="15"/>
  <c r="AO21" i="15"/>
  <c r="AN21" i="15"/>
  <c r="AM21" i="15"/>
  <c r="AK21" i="15"/>
  <c r="AA21" i="15"/>
  <c r="Z21" i="15"/>
  <c r="AL21" i="15"/>
  <c r="AH21" i="15"/>
  <c r="AG21" i="15"/>
  <c r="AO20" i="15"/>
  <c r="AN20" i="15"/>
  <c r="AM20" i="15"/>
  <c r="AK20" i="15"/>
  <c r="AA20" i="15"/>
  <c r="AL20" i="15"/>
  <c r="AJ20" i="15"/>
  <c r="AI20" i="15"/>
  <c r="AH20" i="15"/>
  <c r="Y20" i="15"/>
  <c r="AO19" i="15"/>
  <c r="AN19" i="15"/>
  <c r="AM19" i="15"/>
  <c r="AK19" i="15"/>
  <c r="AA19" i="15"/>
  <c r="AL19" i="15"/>
  <c r="AJ19" i="15"/>
  <c r="AI19" i="15"/>
  <c r="AH19" i="15"/>
  <c r="AG19" i="15"/>
  <c r="AY18" i="15"/>
  <c r="AO70" i="15" s="1"/>
  <c r="AX18" i="15"/>
  <c r="AW18" i="15"/>
  <c r="AM70" i="15" s="1"/>
  <c r="AU18" i="15"/>
  <c r="AO18" i="15"/>
  <c r="AN18" i="15"/>
  <c r="AM18" i="15"/>
  <c r="AK18" i="15"/>
  <c r="AA18" i="15"/>
  <c r="Z18" i="15"/>
  <c r="AJ18" i="15"/>
  <c r="AR18" i="15"/>
  <c r="AH70" i="15" s="1"/>
  <c r="AO17" i="15"/>
  <c r="AN17" i="15"/>
  <c r="AM17" i="15"/>
  <c r="AK17" i="15"/>
  <c r="AA17" i="15"/>
  <c r="AL17" i="15"/>
  <c r="AJ17" i="15"/>
  <c r="AI17" i="15"/>
  <c r="AH17" i="15"/>
  <c r="AG17" i="15"/>
  <c r="AO16" i="15"/>
  <c r="AN16" i="15"/>
  <c r="AM16" i="15"/>
  <c r="AK16" i="15"/>
  <c r="AH16" i="15"/>
  <c r="AA16" i="15"/>
  <c r="AL16" i="15"/>
  <c r="AJ16" i="15"/>
  <c r="AI16" i="15"/>
  <c r="AG16" i="15"/>
  <c r="AO15" i="15"/>
  <c r="AN15" i="15"/>
  <c r="AM15" i="15"/>
  <c r="AK15" i="15"/>
  <c r="AA15" i="15"/>
  <c r="AL15" i="15"/>
  <c r="AJ15" i="15"/>
  <c r="AI15" i="15"/>
  <c r="AY14" i="15"/>
  <c r="AO69" i="15" s="1"/>
  <c r="AX14" i="15"/>
  <c r="AW14" i="15"/>
  <c r="AM69" i="15" s="1"/>
  <c r="AU14" i="15"/>
  <c r="AK69" i="15" s="1"/>
  <c r="AO14" i="15"/>
  <c r="AN14" i="15"/>
  <c r="AM14" i="15"/>
  <c r="AK14" i="15"/>
  <c r="AA14" i="15"/>
  <c r="AV14" i="15"/>
  <c r="AL69" i="15" s="1"/>
  <c r="AT14" i="15"/>
  <c r="AJ69" i="15" s="1"/>
  <c r="AR14" i="15"/>
  <c r="AH69" i="15" s="1"/>
  <c r="AG14" i="15"/>
  <c r="AO13" i="15"/>
  <c r="AN13" i="15"/>
  <c r="AM13" i="15"/>
  <c r="AK13" i="15"/>
  <c r="AI13" i="15"/>
  <c r="AA13" i="15"/>
  <c r="AL13" i="15"/>
  <c r="AJ13" i="15"/>
  <c r="AH13" i="15"/>
  <c r="AG13" i="15"/>
  <c r="AO12" i="15"/>
  <c r="AN12" i="15"/>
  <c r="AM12" i="15"/>
  <c r="AK12" i="15"/>
  <c r="AA12" i="15"/>
  <c r="AL12" i="15"/>
  <c r="AJ12" i="15"/>
  <c r="AI12" i="15"/>
  <c r="AH12" i="15"/>
  <c r="AO11" i="15"/>
  <c r="AN11" i="15"/>
  <c r="AM11" i="15"/>
  <c r="AK11" i="15"/>
  <c r="AJ11" i="15"/>
  <c r="AA11" i="15"/>
  <c r="AL11" i="15"/>
  <c r="AH11" i="15"/>
  <c r="AG11" i="15"/>
  <c r="AY10" i="15"/>
  <c r="AO68" i="15" s="1"/>
  <c r="AX10" i="15"/>
  <c r="AW10" i="15"/>
  <c r="AM68" i="15" s="1"/>
  <c r="AU10" i="15"/>
  <c r="AO10" i="15"/>
  <c r="AN10" i="15"/>
  <c r="AM10" i="15"/>
  <c r="AK10" i="15"/>
  <c r="AL10" i="15"/>
  <c r="AT10" i="15"/>
  <c r="AJ68" i="15" s="1"/>
  <c r="AS10" i="15"/>
  <c r="AI68" i="15" s="1"/>
  <c r="AR10" i="15"/>
  <c r="AH68" i="15" s="1"/>
  <c r="B10" i="15"/>
  <c r="A11" i="15" s="1"/>
  <c r="B11" i="15" s="1"/>
  <c r="A12" i="15" s="1"/>
  <c r="B12" i="15" s="1"/>
  <c r="A13" i="15" s="1"/>
  <c r="B13" i="15" s="1"/>
  <c r="A14" i="15" s="1"/>
  <c r="B14" i="15" s="1"/>
  <c r="A15" i="15" s="1"/>
  <c r="B15" i="15" s="1"/>
  <c r="A16" i="15" s="1"/>
  <c r="B16" i="15" s="1"/>
  <c r="A17" i="15" s="1"/>
  <c r="B17" i="15" s="1"/>
  <c r="A18" i="15" s="1"/>
  <c r="B18" i="15" s="1"/>
  <c r="A19" i="15" s="1"/>
  <c r="B19" i="15" s="1"/>
  <c r="A20" i="15" s="1"/>
  <c r="B20" i="15" s="1"/>
  <c r="A21" i="15" s="1"/>
  <c r="B21" i="15" s="1"/>
  <c r="A22" i="15" s="1"/>
  <c r="B22" i="15" s="1"/>
  <c r="A23" i="15" s="1"/>
  <c r="B23" i="15" s="1"/>
  <c r="A24" i="15" s="1"/>
  <c r="B24" i="15" s="1"/>
  <c r="A25" i="15" s="1"/>
  <c r="B25" i="15" s="1"/>
  <c r="A26" i="15" s="1"/>
  <c r="B26" i="15" s="1"/>
  <c r="A27" i="15" s="1"/>
  <c r="B27" i="15" s="1"/>
  <c r="A28" i="15" s="1"/>
  <c r="B28" i="15" s="1"/>
  <c r="A29" i="15" s="1"/>
  <c r="B29" i="15" s="1"/>
  <c r="A30" i="15" s="1"/>
  <c r="B30" i="15" s="1"/>
  <c r="A31" i="15" s="1"/>
  <c r="B31" i="15" s="1"/>
  <c r="A32" i="15" s="1"/>
  <c r="B32" i="15" s="1"/>
  <c r="A33" i="15" s="1"/>
  <c r="B33" i="15" s="1"/>
  <c r="A34" i="15" s="1"/>
  <c r="B34" i="15" s="1"/>
  <c r="A35" i="15" s="1"/>
  <c r="B35" i="15" s="1"/>
  <c r="A36" i="15" s="1"/>
  <c r="B36" i="15" s="1"/>
  <c r="A37" i="15" s="1"/>
  <c r="B37" i="15" s="1"/>
  <c r="A38" i="15" s="1"/>
  <c r="B38" i="15" s="1"/>
  <c r="A39" i="15" s="1"/>
  <c r="B39" i="15" s="1"/>
  <c r="A40" i="15" s="1"/>
  <c r="B40" i="15" s="1"/>
  <c r="A41" i="15" s="1"/>
  <c r="B41" i="15" s="1"/>
  <c r="A42" i="15" s="1"/>
  <c r="B42" i="15" s="1"/>
  <c r="A43" i="15" s="1"/>
  <c r="B43" i="15" s="1"/>
  <c r="A44" i="15" s="1"/>
  <c r="B44" i="15" s="1"/>
  <c r="A45" i="15" s="1"/>
  <c r="B45" i="15" s="1"/>
  <c r="A46" i="15" s="1"/>
  <c r="B46" i="15" s="1"/>
  <c r="A47" i="15" s="1"/>
  <c r="B47" i="15" s="1"/>
  <c r="A48" i="15" s="1"/>
  <c r="B48" i="15" s="1"/>
  <c r="A49" i="15" s="1"/>
  <c r="B49" i="15" s="1"/>
  <c r="A50" i="15" s="1"/>
  <c r="B50" i="15" s="1"/>
  <c r="A51" i="15" s="1"/>
  <c r="B51" i="15" s="1"/>
  <c r="A52" i="15" s="1"/>
  <c r="B52" i="15" s="1"/>
  <c r="A53" i="15" s="1"/>
  <c r="B53" i="15" s="1"/>
  <c r="A54" i="15" s="1"/>
  <c r="B54" i="15" s="1"/>
  <c r="A55" i="15" s="1"/>
  <c r="B55" i="15" s="1"/>
  <c r="A56" i="15" s="1"/>
  <c r="B56" i="15" s="1"/>
  <c r="A57" i="15" s="1"/>
  <c r="B57" i="15" s="1"/>
  <c r="A58" i="15" s="1"/>
  <c r="B58" i="15" s="1"/>
  <c r="A59" i="15" s="1"/>
  <c r="B59" i="15" s="1"/>
  <c r="A60" i="15" s="1"/>
  <c r="B60" i="15" s="1"/>
  <c r="A61" i="15" s="1"/>
  <c r="B61" i="15" s="1"/>
  <c r="A62" i="15" s="1"/>
  <c r="B62" i="15" s="1"/>
  <c r="A63" i="15" s="1"/>
  <c r="B63" i="15" s="1"/>
  <c r="A64" i="15" s="1"/>
  <c r="B64" i="15" s="1"/>
  <c r="A65" i="15" s="1"/>
  <c r="B65" i="15" s="1"/>
  <c r="X7" i="15"/>
  <c r="W7" i="15"/>
  <c r="V7" i="15"/>
  <c r="U7" i="15"/>
  <c r="T7" i="15"/>
  <c r="S7" i="15"/>
  <c r="R7" i="15"/>
  <c r="Q7" i="15"/>
  <c r="P7" i="15"/>
  <c r="O7" i="15"/>
  <c r="AC82" i="22" l="1"/>
  <c r="Y74" i="23"/>
  <c r="AC32" i="23"/>
  <c r="AA71" i="23"/>
  <c r="Z69" i="23"/>
  <c r="AG68" i="23"/>
  <c r="AA74" i="22"/>
  <c r="AC17" i="22"/>
  <c r="Z68" i="22"/>
  <c r="AB68" i="22"/>
  <c r="AG69" i="22"/>
  <c r="AC69" i="22" s="1"/>
  <c r="Z73" i="21"/>
  <c r="U83" i="21"/>
  <c r="Y71" i="21"/>
  <c r="AC10" i="21"/>
  <c r="AN70" i="20"/>
  <c r="Z71" i="20"/>
  <c r="AA69" i="20"/>
  <c r="Y69" i="20"/>
  <c r="AC25" i="19"/>
  <c r="AN69" i="19"/>
  <c r="AB68" i="19"/>
  <c r="AC22" i="19"/>
  <c r="AC55" i="19"/>
  <c r="AN71" i="19"/>
  <c r="AC71" i="19" s="1"/>
  <c r="AC30" i="19"/>
  <c r="AC31" i="20"/>
  <c r="AB69" i="20"/>
  <c r="Z69" i="20"/>
  <c r="AC52" i="21"/>
  <c r="Z68" i="21"/>
  <c r="AC41" i="22"/>
  <c r="AA68" i="22"/>
  <c r="AC34" i="23"/>
  <c r="AC22" i="21"/>
  <c r="AC23" i="21"/>
  <c r="AC53" i="21"/>
  <c r="AC80" i="19"/>
  <c r="AC54" i="20"/>
  <c r="AC53" i="22"/>
  <c r="AC62" i="22"/>
  <c r="Y74" i="22"/>
  <c r="AC18" i="22"/>
  <c r="AC49" i="23"/>
  <c r="AC14" i="21"/>
  <c r="AM68" i="21"/>
  <c r="Q83" i="23"/>
  <c r="AC52" i="19"/>
  <c r="AC65" i="19"/>
  <c r="AC38" i="20"/>
  <c r="AC26" i="20"/>
  <c r="AC22" i="20"/>
  <c r="Z74" i="20"/>
  <c r="AC48" i="20"/>
  <c r="AN69" i="20"/>
  <c r="AC69" i="20" s="1"/>
  <c r="AC60" i="21"/>
  <c r="AC46" i="21"/>
  <c r="AC33" i="21"/>
  <c r="AK73" i="21"/>
  <c r="Z69" i="21"/>
  <c r="AC26" i="22"/>
  <c r="S83" i="22"/>
  <c r="AB74" i="23"/>
  <c r="AC19" i="23"/>
  <c r="AC39" i="23"/>
  <c r="AC10" i="19"/>
  <c r="Z72" i="20"/>
  <c r="AC24" i="21"/>
  <c r="AC30" i="22"/>
  <c r="AC25" i="22"/>
  <c r="Z75" i="23"/>
  <c r="AG74" i="23"/>
  <c r="AC74" i="23" s="1"/>
  <c r="AC26" i="23"/>
  <c r="AC51" i="19"/>
  <c r="AC27" i="19"/>
  <c r="O83" i="19"/>
  <c r="P83" i="20"/>
  <c r="Z77" i="21"/>
  <c r="AC43" i="21"/>
  <c r="AN71" i="21"/>
  <c r="AC71" i="21" s="1"/>
  <c r="AC58" i="22"/>
  <c r="Y75" i="22"/>
  <c r="AC54" i="23"/>
  <c r="AC10" i="23"/>
  <c r="AC32" i="19"/>
  <c r="Z70" i="21"/>
  <c r="AB79" i="19"/>
  <c r="AA80" i="19"/>
  <c r="AC36" i="19"/>
  <c r="Z80" i="19"/>
  <c r="AC26" i="21"/>
  <c r="AC42" i="22"/>
  <c r="AB75" i="22"/>
  <c r="AC11" i="22"/>
  <c r="AC46" i="23"/>
  <c r="Z71" i="21"/>
  <c r="AC34" i="22"/>
  <c r="AB68" i="23"/>
  <c r="AC40" i="23"/>
  <c r="AC62" i="19"/>
  <c r="AC34" i="19"/>
  <c r="AC42" i="21"/>
  <c r="T83" i="21"/>
  <c r="AC60" i="22"/>
  <c r="AC39" i="22"/>
  <c r="Y80" i="23"/>
  <c r="AG80" i="23"/>
  <c r="AB80" i="23"/>
  <c r="Z80" i="23"/>
  <c r="AA78" i="23"/>
  <c r="AN78" i="23"/>
  <c r="AA80" i="23"/>
  <c r="AN80" i="23"/>
  <c r="Y78" i="23"/>
  <c r="Y73" i="23"/>
  <c r="AG73" i="23"/>
  <c r="AB73" i="23"/>
  <c r="AC14" i="23"/>
  <c r="AC47" i="23"/>
  <c r="AA77" i="23"/>
  <c r="AN77" i="23"/>
  <c r="Z77" i="23"/>
  <c r="AB78" i="23"/>
  <c r="AG75" i="23"/>
  <c r="AB75" i="23"/>
  <c r="Y75" i="23"/>
  <c r="AC55" i="23"/>
  <c r="AB69" i="23"/>
  <c r="AG69" i="23"/>
  <c r="AC69" i="23" s="1"/>
  <c r="Y69" i="23"/>
  <c r="Z74" i="23"/>
  <c r="R83" i="23"/>
  <c r="AB77" i="23"/>
  <c r="AG77" i="23"/>
  <c r="AC77" i="23" s="1"/>
  <c r="Y77" i="23"/>
  <c r="AA70" i="23"/>
  <c r="AN70" i="23"/>
  <c r="AN76" i="23"/>
  <c r="AA76" i="23"/>
  <c r="AB72" i="23"/>
  <c r="AC22" i="23"/>
  <c r="AC64" i="23"/>
  <c r="W83" i="23"/>
  <c r="AN73" i="23"/>
  <c r="AA73" i="23"/>
  <c r="Y81" i="23"/>
  <c r="AG81" i="23"/>
  <c r="AC81" i="23" s="1"/>
  <c r="AB81" i="23"/>
  <c r="AC62" i="23"/>
  <c r="AC42" i="23"/>
  <c r="AN74" i="23"/>
  <c r="AA74" i="23"/>
  <c r="AA72" i="23"/>
  <c r="AC43" i="23"/>
  <c r="AB71" i="23"/>
  <c r="Y71" i="23"/>
  <c r="AG71" i="23"/>
  <c r="AB79" i="23"/>
  <c r="Y79" i="23"/>
  <c r="AG79" i="23"/>
  <c r="AK79" i="23"/>
  <c r="Z79" i="23"/>
  <c r="AN75" i="23"/>
  <c r="AA75" i="23"/>
  <c r="AK71" i="23"/>
  <c r="Z71" i="23"/>
  <c r="Y72" i="23"/>
  <c r="P83" i="23"/>
  <c r="AN81" i="23"/>
  <c r="AA81" i="23"/>
  <c r="AK68" i="23"/>
  <c r="S83" i="23"/>
  <c r="Z68" i="23"/>
  <c r="AC50" i="23"/>
  <c r="AK78" i="23"/>
  <c r="Z78" i="23"/>
  <c r="AK76" i="23"/>
  <c r="AC76" i="23" s="1"/>
  <c r="Z76" i="23"/>
  <c r="AB70" i="23"/>
  <c r="Y70" i="23"/>
  <c r="AG70" i="23"/>
  <c r="Z73" i="23"/>
  <c r="AK73" i="23"/>
  <c r="O83" i="23"/>
  <c r="U83" i="23"/>
  <c r="T83" i="23"/>
  <c r="AA79" i="23"/>
  <c r="AN79" i="23"/>
  <c r="Z81" i="23"/>
  <c r="AB76" i="23"/>
  <c r="AN68" i="23"/>
  <c r="V83" i="23"/>
  <c r="AA68" i="23"/>
  <c r="Z72" i="23"/>
  <c r="AK72" i="23"/>
  <c r="AC72" i="23" s="1"/>
  <c r="AK70" i="23"/>
  <c r="Z70" i="23"/>
  <c r="AC54" i="22"/>
  <c r="Y81" i="22"/>
  <c r="AG81" i="22"/>
  <c r="AB81" i="22"/>
  <c r="AA80" i="22"/>
  <c r="AK79" i="22"/>
  <c r="Z79" i="22"/>
  <c r="AC43" i="22"/>
  <c r="Z70" i="22"/>
  <c r="AC20" i="22"/>
  <c r="Q83" i="22"/>
  <c r="AI68" i="22"/>
  <c r="AC68" i="22" s="1"/>
  <c r="AK75" i="22"/>
  <c r="AC75" i="22" s="1"/>
  <c r="Z75" i="22"/>
  <c r="AC10" i="22"/>
  <c r="AA70" i="22"/>
  <c r="AN70" i="22"/>
  <c r="R83" i="22"/>
  <c r="AA79" i="22"/>
  <c r="AB76" i="22"/>
  <c r="Y76" i="22"/>
  <c r="AG76" i="22"/>
  <c r="AC38" i="22"/>
  <c r="AB71" i="22"/>
  <c r="Y71" i="22"/>
  <c r="AG71" i="22"/>
  <c r="AC71" i="22" s="1"/>
  <c r="AB74" i="22"/>
  <c r="AM68" i="22"/>
  <c r="U83" i="22"/>
  <c r="Z71" i="22"/>
  <c r="Y72" i="22"/>
  <c r="AG72" i="22"/>
  <c r="AC72" i="22" s="1"/>
  <c r="AB72" i="22"/>
  <c r="AC47" i="22"/>
  <c r="AC45" i="22"/>
  <c r="AA71" i="22"/>
  <c r="AB70" i="22"/>
  <c r="Y70" i="22"/>
  <c r="AG70" i="22"/>
  <c r="AA76" i="22"/>
  <c r="AB69" i="22"/>
  <c r="W83" i="22"/>
  <c r="Y80" i="22"/>
  <c r="AG80" i="22"/>
  <c r="AC80" i="22" s="1"/>
  <c r="AB80" i="22"/>
  <c r="AC22" i="22"/>
  <c r="AK76" i="22"/>
  <c r="Z76" i="22"/>
  <c r="AC27" i="22"/>
  <c r="P83" i="22"/>
  <c r="V83" i="22"/>
  <c r="Z81" i="22"/>
  <c r="AK81" i="22"/>
  <c r="AB77" i="22"/>
  <c r="AG77" i="22"/>
  <c r="Y77" i="22"/>
  <c r="AB73" i="22"/>
  <c r="AK77" i="22"/>
  <c r="Z77" i="22"/>
  <c r="AA77" i="22"/>
  <c r="AN77" i="22"/>
  <c r="Y68" i="22"/>
  <c r="AN81" i="22"/>
  <c r="AA81" i="22"/>
  <c r="AB79" i="22"/>
  <c r="Y79" i="22"/>
  <c r="AG79" i="22"/>
  <c r="AC55" i="22"/>
  <c r="AC50" i="22"/>
  <c r="AC73" i="22"/>
  <c r="AC14" i="22"/>
  <c r="Z69" i="22"/>
  <c r="T83" i="22"/>
  <c r="Z80" i="22"/>
  <c r="AB78" i="22"/>
  <c r="Y78" i="22"/>
  <c r="AG78" i="22"/>
  <c r="AC78" i="22" s="1"/>
  <c r="Y73" i="22"/>
  <c r="Z74" i="22"/>
  <c r="AK74" i="22"/>
  <c r="AC74" i="22" s="1"/>
  <c r="AC19" i="22"/>
  <c r="Z73" i="22"/>
  <c r="O83" i="22"/>
  <c r="AN81" i="21"/>
  <c r="AC81" i="21" s="1"/>
  <c r="AA81" i="21"/>
  <c r="AN74" i="21"/>
  <c r="AA74" i="21"/>
  <c r="AC44" i="21"/>
  <c r="AA72" i="21"/>
  <c r="AN72" i="21"/>
  <c r="AC72" i="21" s="1"/>
  <c r="W83" i="21"/>
  <c r="AO68" i="21"/>
  <c r="AK76" i="21"/>
  <c r="Z76" i="21"/>
  <c r="AB77" i="21"/>
  <c r="R83" i="21"/>
  <c r="S83" i="21"/>
  <c r="O83" i="21"/>
  <c r="AB68" i="21"/>
  <c r="AG68" i="21"/>
  <c r="AC68" i="21" s="1"/>
  <c r="Y68" i="21"/>
  <c r="Z79" i="21"/>
  <c r="AC18" i="21"/>
  <c r="AB70" i="21"/>
  <c r="Y70" i="21"/>
  <c r="AG70" i="21"/>
  <c r="AB78" i="21"/>
  <c r="Y78" i="21"/>
  <c r="AG78" i="21"/>
  <c r="AC78" i="21" s="1"/>
  <c r="Y73" i="21"/>
  <c r="AG73" i="21"/>
  <c r="AB73" i="21"/>
  <c r="AC30" i="21"/>
  <c r="AC34" i="21"/>
  <c r="AA79" i="21"/>
  <c r="AC41" i="21"/>
  <c r="AA80" i="21"/>
  <c r="AN80" i="21"/>
  <c r="AC48" i="21"/>
  <c r="AA69" i="21"/>
  <c r="AN69" i="21"/>
  <c r="P83" i="21"/>
  <c r="Y80" i="21"/>
  <c r="AG80" i="21"/>
  <c r="AB80" i="21"/>
  <c r="Y74" i="21"/>
  <c r="AG74" i="21"/>
  <c r="AB74" i="21"/>
  <c r="AB81" i="21"/>
  <c r="AB76" i="21"/>
  <c r="Y76" i="21"/>
  <c r="AG76" i="21"/>
  <c r="AC63" i="21"/>
  <c r="AB69" i="21"/>
  <c r="AG69" i="21"/>
  <c r="Y69" i="21"/>
  <c r="AA68" i="21"/>
  <c r="Z80" i="21"/>
  <c r="AK80" i="21"/>
  <c r="AA78" i="21"/>
  <c r="Z74" i="21"/>
  <c r="V83" i="21"/>
  <c r="Y81" i="21"/>
  <c r="AC37" i="21"/>
  <c r="AB72" i="21"/>
  <c r="AB79" i="21"/>
  <c r="Y79" i="21"/>
  <c r="AG79" i="21"/>
  <c r="AC79" i="21" s="1"/>
  <c r="Y77" i="21"/>
  <c r="AA77" i="21"/>
  <c r="AN77" i="21"/>
  <c r="AN73" i="21"/>
  <c r="AA73" i="21"/>
  <c r="AB71" i="21"/>
  <c r="Q83" i="21"/>
  <c r="AN75" i="21"/>
  <c r="AC75" i="21" s="1"/>
  <c r="AA75" i="21"/>
  <c r="AC27" i="21"/>
  <c r="AN76" i="21"/>
  <c r="AA76" i="21"/>
  <c r="AC77" i="21"/>
  <c r="AA70" i="21"/>
  <c r="AN70" i="21"/>
  <c r="Z72" i="21"/>
  <c r="AC51" i="20"/>
  <c r="AG75" i="20"/>
  <c r="Y75" i="20"/>
  <c r="AB75" i="20"/>
  <c r="AC30" i="20"/>
  <c r="AC17" i="20"/>
  <c r="AC55" i="20"/>
  <c r="AA79" i="20"/>
  <c r="AN79" i="20"/>
  <c r="AC46" i="20"/>
  <c r="AK76" i="20"/>
  <c r="Z76" i="20"/>
  <c r="AB71" i="20"/>
  <c r="Y71" i="20"/>
  <c r="AG71" i="20"/>
  <c r="AC71" i="20" s="1"/>
  <c r="AC23" i="20"/>
  <c r="O83" i="20"/>
  <c r="AB68" i="20"/>
  <c r="Y68" i="20"/>
  <c r="AG68" i="20"/>
  <c r="T83" i="20"/>
  <c r="Q83" i="20"/>
  <c r="AN81" i="20"/>
  <c r="AA81" i="20"/>
  <c r="AB70" i="20"/>
  <c r="AG70" i="20"/>
  <c r="Y70" i="20"/>
  <c r="AA72" i="20"/>
  <c r="AN72" i="20"/>
  <c r="Z77" i="20"/>
  <c r="Y79" i="20"/>
  <c r="AN74" i="20"/>
  <c r="AC74" i="20" s="1"/>
  <c r="AA74" i="20"/>
  <c r="Z75" i="20"/>
  <c r="AK75" i="20"/>
  <c r="AK70" i="20"/>
  <c r="Z70" i="20"/>
  <c r="AC62" i="20"/>
  <c r="Z81" i="20"/>
  <c r="AB76" i="20"/>
  <c r="Y76" i="20"/>
  <c r="AG76" i="20"/>
  <c r="AC76" i="20" s="1"/>
  <c r="AB79" i="20"/>
  <c r="Y72" i="20"/>
  <c r="AG72" i="20"/>
  <c r="AB72" i="20"/>
  <c r="AM68" i="20"/>
  <c r="U83" i="20"/>
  <c r="Y81" i="20"/>
  <c r="AG81" i="20"/>
  <c r="AB81" i="20"/>
  <c r="AA80" i="20"/>
  <c r="AN80" i="20"/>
  <c r="AC50" i="20"/>
  <c r="AC42" i="20"/>
  <c r="Y73" i="20"/>
  <c r="AG73" i="20"/>
  <c r="AB73" i="20"/>
  <c r="AC34" i="20"/>
  <c r="AK79" i="20"/>
  <c r="Z79" i="20"/>
  <c r="Z78" i="20"/>
  <c r="AC41" i="20"/>
  <c r="AN68" i="20"/>
  <c r="V83" i="20"/>
  <c r="AA68" i="20"/>
  <c r="AB74" i="20"/>
  <c r="AB77" i="20"/>
  <c r="AG77" i="20"/>
  <c r="AC77" i="20" s="1"/>
  <c r="Y77" i="20"/>
  <c r="AB78" i="20"/>
  <c r="Y78" i="20"/>
  <c r="AG78" i="20"/>
  <c r="AC78" i="20" s="1"/>
  <c r="AN73" i="20"/>
  <c r="AA73" i="20"/>
  <c r="AC18" i="20"/>
  <c r="Z73" i="20"/>
  <c r="AC14" i="20"/>
  <c r="Y80" i="20"/>
  <c r="AG80" i="20"/>
  <c r="AB80" i="20"/>
  <c r="Z80" i="20"/>
  <c r="R83" i="20"/>
  <c r="AJ68" i="20"/>
  <c r="AC10" i="20"/>
  <c r="W83" i="20"/>
  <c r="AC50" i="19"/>
  <c r="P83" i="19"/>
  <c r="AC59" i="19"/>
  <c r="AC58" i="19"/>
  <c r="AN74" i="19"/>
  <c r="AC74" i="19" s="1"/>
  <c r="AA74" i="19"/>
  <c r="AB71" i="19"/>
  <c r="AA75" i="19"/>
  <c r="Y73" i="19"/>
  <c r="AG73" i="19"/>
  <c r="AB73" i="19"/>
  <c r="Z73" i="19"/>
  <c r="Q83" i="19"/>
  <c r="Z69" i="19"/>
  <c r="AB76" i="19"/>
  <c r="Y76" i="19"/>
  <c r="AG76" i="19"/>
  <c r="AK76" i="19"/>
  <c r="Z76" i="19"/>
  <c r="Y71" i="19"/>
  <c r="AB69" i="19"/>
  <c r="Y69" i="19"/>
  <c r="AG69" i="19"/>
  <c r="AC69" i="19" s="1"/>
  <c r="AK75" i="19"/>
  <c r="AC75" i="19" s="1"/>
  <c r="Z75" i="19"/>
  <c r="AA70" i="19"/>
  <c r="AN70" i="19"/>
  <c r="AK77" i="19"/>
  <c r="Z77" i="19"/>
  <c r="AN73" i="19"/>
  <c r="AA73" i="19"/>
  <c r="R83" i="19"/>
  <c r="AC49" i="19"/>
  <c r="AC54" i="19"/>
  <c r="AK68" i="19"/>
  <c r="S83" i="19"/>
  <c r="Z68" i="19"/>
  <c r="Z72" i="19"/>
  <c r="AK72" i="19"/>
  <c r="AB80" i="19"/>
  <c r="Y79" i="19"/>
  <c r="Z74" i="19"/>
  <c r="Z71" i="19"/>
  <c r="AB81" i="19"/>
  <c r="AA76" i="19"/>
  <c r="AB74" i="19"/>
  <c r="U83" i="19"/>
  <c r="Y72" i="19"/>
  <c r="AG72" i="19"/>
  <c r="AB72" i="19"/>
  <c r="AC46" i="19"/>
  <c r="AB77" i="19"/>
  <c r="Y77" i="19"/>
  <c r="AG77" i="19"/>
  <c r="AC81" i="19"/>
  <c r="AA72" i="19"/>
  <c r="AN72" i="19"/>
  <c r="Z78" i="19"/>
  <c r="AC14" i="19"/>
  <c r="W83" i="19"/>
  <c r="AK79" i="19"/>
  <c r="AC79" i="19" s="1"/>
  <c r="Z79" i="19"/>
  <c r="AA77" i="19"/>
  <c r="AN77" i="19"/>
  <c r="AB70" i="19"/>
  <c r="Y70" i="19"/>
  <c r="AG70" i="19"/>
  <c r="Y81" i="19"/>
  <c r="AN68" i="19"/>
  <c r="V83" i="19"/>
  <c r="AA68" i="19"/>
  <c r="Y75" i="19"/>
  <c r="AC68" i="19"/>
  <c r="T83" i="19"/>
  <c r="AK70" i="19"/>
  <c r="Z70" i="19"/>
  <c r="AB78" i="19"/>
  <c r="Y78" i="19"/>
  <c r="AG78" i="19"/>
  <c r="AC78" i="19" s="1"/>
  <c r="AC38" i="19"/>
  <c r="AB75" i="19"/>
  <c r="AA72" i="15"/>
  <c r="AN72" i="15"/>
  <c r="Y12" i="15"/>
  <c r="AB47" i="15"/>
  <c r="AB55" i="15"/>
  <c r="AI26" i="15"/>
  <c r="AB36" i="15"/>
  <c r="AS38" i="15"/>
  <c r="AI75" i="15" s="1"/>
  <c r="AB50" i="15"/>
  <c r="Z57" i="15"/>
  <c r="AB30" i="15"/>
  <c r="AB31" i="15"/>
  <c r="Y44" i="15"/>
  <c r="AS46" i="15"/>
  <c r="AI77" i="15" s="1"/>
  <c r="AH49" i="15"/>
  <c r="AL52" i="15"/>
  <c r="AC52" i="15" s="1"/>
  <c r="Z56" i="15"/>
  <c r="AH10" i="15"/>
  <c r="Y15" i="15"/>
  <c r="AB18" i="15"/>
  <c r="Z20" i="15"/>
  <c r="Y57" i="15"/>
  <c r="AV58" i="15"/>
  <c r="AL80" i="15" s="1"/>
  <c r="AT18" i="15"/>
  <c r="AJ70" i="15" s="1"/>
  <c r="AB34" i="15"/>
  <c r="Z36" i="15"/>
  <c r="AV50" i="15"/>
  <c r="AL78" i="15" s="1"/>
  <c r="AJ58" i="15"/>
  <c r="AS18" i="15"/>
  <c r="AI70" i="15" s="1"/>
  <c r="AB32" i="15"/>
  <c r="Y24" i="15"/>
  <c r="AG36" i="15"/>
  <c r="AB43" i="15"/>
  <c r="AH46" i="15"/>
  <c r="AB53" i="15"/>
  <c r="Y11" i="15"/>
  <c r="Z14" i="15"/>
  <c r="AQ14" i="15"/>
  <c r="AG69" i="15" s="1"/>
  <c r="AI22" i="15"/>
  <c r="Z23" i="15"/>
  <c r="AB24" i="15"/>
  <c r="Y37" i="15"/>
  <c r="Z40" i="15"/>
  <c r="AL46" i="15"/>
  <c r="AC51" i="15"/>
  <c r="AB60" i="15"/>
  <c r="AG60" i="15"/>
  <c r="AC60" i="15" s="1"/>
  <c r="AH62" i="15"/>
  <c r="AG18" i="15"/>
  <c r="Y25" i="15"/>
  <c r="AB27" i="15"/>
  <c r="AG31" i="15"/>
  <c r="Y38" i="15"/>
  <c r="AT38" i="15"/>
  <c r="AJ75" i="15" s="1"/>
  <c r="Y43" i="15"/>
  <c r="Y49" i="15"/>
  <c r="AS50" i="15"/>
  <c r="AI78" i="15" s="1"/>
  <c r="AG53" i="15"/>
  <c r="AG57" i="15"/>
  <c r="AC57" i="15" s="1"/>
  <c r="AB64" i="15"/>
  <c r="AV10" i="15"/>
  <c r="AL68" i="15" s="1"/>
  <c r="AH14" i="15"/>
  <c r="Z17" i="15"/>
  <c r="AC33" i="15"/>
  <c r="AR34" i="15"/>
  <c r="AH74" i="15" s="1"/>
  <c r="AL36" i="15"/>
  <c r="AV38" i="15"/>
  <c r="AL75" i="15" s="1"/>
  <c r="Z39" i="15"/>
  <c r="Z41" i="15"/>
  <c r="Z46" i="15"/>
  <c r="Z47" i="15"/>
  <c r="AI10" i="15"/>
  <c r="Z11" i="15"/>
  <c r="AB12" i="15"/>
  <c r="Y28" i="15"/>
  <c r="AT30" i="15"/>
  <c r="AJ73" i="15" s="1"/>
  <c r="Z37" i="15"/>
  <c r="AB40" i="15"/>
  <c r="AV42" i="15"/>
  <c r="AL76" i="15" s="1"/>
  <c r="AT50" i="15"/>
  <c r="AJ78" i="15" s="1"/>
  <c r="Z54" i="15"/>
  <c r="Z55" i="15"/>
  <c r="AH56" i="15"/>
  <c r="AC56" i="15" s="1"/>
  <c r="Y61" i="15"/>
  <c r="AB65" i="15"/>
  <c r="AQ10" i="15"/>
  <c r="AL14" i="15"/>
  <c r="AB21" i="15"/>
  <c r="AJ21" i="15"/>
  <c r="AT22" i="15"/>
  <c r="AJ71" i="15" s="1"/>
  <c r="AT26" i="15"/>
  <c r="AJ72" i="15" s="1"/>
  <c r="AR26" i="15"/>
  <c r="AH72" i="15" s="1"/>
  <c r="AB29" i="15"/>
  <c r="Z30" i="15"/>
  <c r="AB33" i="15"/>
  <c r="AB35" i="15"/>
  <c r="AB38" i="15"/>
  <c r="AI42" i="15"/>
  <c r="AG46" i="15"/>
  <c r="Y58" i="15"/>
  <c r="Z59" i="15"/>
  <c r="AS62" i="15"/>
  <c r="AI81" i="15" s="1"/>
  <c r="AB63" i="15"/>
  <c r="AS14" i="15"/>
  <c r="AI69" i="15" s="1"/>
  <c r="AB15" i="15"/>
  <c r="AC17" i="15"/>
  <c r="AV22" i="15"/>
  <c r="AL71" i="15" s="1"/>
  <c r="Z24" i="15"/>
  <c r="AQ30" i="15"/>
  <c r="Z33" i="15"/>
  <c r="AV34" i="15"/>
  <c r="AL74" i="15" s="1"/>
  <c r="Z38" i="15"/>
  <c r="Y40" i="15"/>
  <c r="AB42" i="15"/>
  <c r="AB44" i="15"/>
  <c r="Y46" i="15"/>
  <c r="AC48" i="15"/>
  <c r="AS58" i="15"/>
  <c r="AI80" i="15" s="1"/>
  <c r="Y60" i="15"/>
  <c r="AT62" i="15"/>
  <c r="AJ81" i="15" s="1"/>
  <c r="AB11" i="15"/>
  <c r="Z15" i="15"/>
  <c r="AV18" i="15"/>
  <c r="AL70" i="15" s="1"/>
  <c r="Y21" i="15"/>
  <c r="Y22" i="15"/>
  <c r="Z27" i="15"/>
  <c r="AB28" i="15"/>
  <c r="AG30" i="15"/>
  <c r="AV30" i="15"/>
  <c r="AL73" i="15" s="1"/>
  <c r="Z34" i="15"/>
  <c r="AB37" i="15"/>
  <c r="AB39" i="15"/>
  <c r="Y41" i="15"/>
  <c r="AG43" i="15"/>
  <c r="Z44" i="15"/>
  <c r="AI46" i="15"/>
  <c r="Y47" i="15"/>
  <c r="AG50" i="15"/>
  <c r="AQ54" i="15"/>
  <c r="AG79" i="15" s="1"/>
  <c r="Z60" i="15"/>
  <c r="AC61" i="15"/>
  <c r="Y64" i="15"/>
  <c r="S83" i="15"/>
  <c r="AC13" i="15"/>
  <c r="AK71" i="15"/>
  <c r="AC28" i="15"/>
  <c r="AC27" i="15"/>
  <c r="AC16" i="15"/>
  <c r="AG71" i="15"/>
  <c r="AK75" i="15"/>
  <c r="AC45" i="15"/>
  <c r="AC53" i="15"/>
  <c r="W83" i="15"/>
  <c r="AC19" i="15"/>
  <c r="AA68" i="15"/>
  <c r="AN68" i="15"/>
  <c r="AC25" i="15"/>
  <c r="AN76" i="15"/>
  <c r="AA76" i="15"/>
  <c r="AB16" i="15"/>
  <c r="AG77" i="15"/>
  <c r="AB51" i="15"/>
  <c r="V83" i="15"/>
  <c r="AJ10" i="15"/>
  <c r="AG12" i="15"/>
  <c r="AC12" i="15" s="1"/>
  <c r="Y13" i="15"/>
  <c r="AB14" i="15"/>
  <c r="AG15" i="15"/>
  <c r="Y16" i="15"/>
  <c r="AB17" i="15"/>
  <c r="AH18" i="15"/>
  <c r="AQ18" i="15"/>
  <c r="Y19" i="15"/>
  <c r="AB20" i="15"/>
  <c r="Z22" i="15"/>
  <c r="AB23" i="15"/>
  <c r="Z25" i="15"/>
  <c r="Z28" i="15"/>
  <c r="AI30" i="15"/>
  <c r="Z31" i="15"/>
  <c r="AL34" i="15"/>
  <c r="AK74" i="15"/>
  <c r="AG38" i="15"/>
  <c r="AA75" i="15"/>
  <c r="AN75" i="15"/>
  <c r="AG41" i="15"/>
  <c r="Y42" i="15"/>
  <c r="AJ42" i="15"/>
  <c r="AG44" i="15"/>
  <c r="Y45" i="15"/>
  <c r="AB46" i="15"/>
  <c r="AG47" i="15"/>
  <c r="Y48" i="15"/>
  <c r="AB49" i="15"/>
  <c r="AH50" i="15"/>
  <c r="AQ50" i="15"/>
  <c r="Y51" i="15"/>
  <c r="AB52" i="15"/>
  <c r="AT54" i="15"/>
  <c r="AJ79" i="15" s="1"/>
  <c r="AQ58" i="15"/>
  <c r="AG58" i="15"/>
  <c r="AQ62" i="15"/>
  <c r="AG62" i="15"/>
  <c r="Y62" i="15"/>
  <c r="AL82" i="15"/>
  <c r="AA80" i="15"/>
  <c r="AB45" i="15"/>
  <c r="AB48" i="15"/>
  <c r="Z13" i="15"/>
  <c r="AH15" i="15"/>
  <c r="Z16" i="15"/>
  <c r="AI18" i="15"/>
  <c r="Z19" i="15"/>
  <c r="AI21" i="15"/>
  <c r="AL22" i="15"/>
  <c r="AI24" i="15"/>
  <c r="AC24" i="15" s="1"/>
  <c r="AG26" i="15"/>
  <c r="AG29" i="15"/>
  <c r="AC29" i="15" s="1"/>
  <c r="Y30" i="15"/>
  <c r="AJ30" i="15"/>
  <c r="AL31" i="15"/>
  <c r="AG32" i="15"/>
  <c r="AC32" i="15" s="1"/>
  <c r="Y33" i="15"/>
  <c r="AG35" i="15"/>
  <c r="AC35" i="15" s="1"/>
  <c r="Y36" i="15"/>
  <c r="AH38" i="15"/>
  <c r="AQ38" i="15"/>
  <c r="Y39" i="15"/>
  <c r="AJ39" i="15"/>
  <c r="AC39" i="15" s="1"/>
  <c r="AH41" i="15"/>
  <c r="Z42" i="15"/>
  <c r="AH44" i="15"/>
  <c r="Z45" i="15"/>
  <c r="AH47" i="15"/>
  <c r="Z48" i="15"/>
  <c r="AI50" i="15"/>
  <c r="Z51" i="15"/>
  <c r="AK79" i="15"/>
  <c r="AR58" i="15"/>
  <c r="AH80" i="15" s="1"/>
  <c r="AH58" i="15"/>
  <c r="AB61" i="15"/>
  <c r="AA81" i="15"/>
  <c r="AN81" i="15"/>
  <c r="AB13" i="15"/>
  <c r="AK68" i="15"/>
  <c r="AN69" i="15"/>
  <c r="AA69" i="15"/>
  <c r="Y18" i="15"/>
  <c r="AG20" i="15"/>
  <c r="AC20" i="15" s="1"/>
  <c r="AB22" i="15"/>
  <c r="AG23" i="15"/>
  <c r="AC23" i="15" s="1"/>
  <c r="AB25" i="15"/>
  <c r="AQ26" i="15"/>
  <c r="Y27" i="15"/>
  <c r="AR38" i="15"/>
  <c r="AH75" i="15" s="1"/>
  <c r="AK76" i="15"/>
  <c r="AN77" i="15"/>
  <c r="AA77" i="15"/>
  <c r="AG49" i="15"/>
  <c r="Y50" i="15"/>
  <c r="Y53" i="15"/>
  <c r="AR54" i="15"/>
  <c r="AH79" i="15" s="1"/>
  <c r="AH54" i="15"/>
  <c r="AB57" i="15"/>
  <c r="AL65" i="15"/>
  <c r="Z65" i="15"/>
  <c r="AK82" i="15"/>
  <c r="AN80" i="15"/>
  <c r="AB19" i="15"/>
  <c r="Z12" i="15"/>
  <c r="AI14" i="15"/>
  <c r="AL18" i="15"/>
  <c r="AK70" i="15"/>
  <c r="AG22" i="15"/>
  <c r="AN71" i="15"/>
  <c r="AA71" i="15"/>
  <c r="Y26" i="15"/>
  <c r="AJ26" i="15"/>
  <c r="Y29" i="15"/>
  <c r="Y32" i="15"/>
  <c r="AQ34" i="15"/>
  <c r="Y35" i="15"/>
  <c r="AL50" i="15"/>
  <c r="AK78" i="15"/>
  <c r="AB56" i="15"/>
  <c r="Z58" i="15"/>
  <c r="AC59" i="15"/>
  <c r="AL62" i="15"/>
  <c r="Z62" i="15"/>
  <c r="AG10" i="15"/>
  <c r="AI11" i="15"/>
  <c r="AC11" i="15" s="1"/>
  <c r="Y14" i="15"/>
  <c r="AJ14" i="15"/>
  <c r="Y17" i="15"/>
  <c r="AH22" i="15"/>
  <c r="Z26" i="15"/>
  <c r="Z29" i="15"/>
  <c r="Z32" i="15"/>
  <c r="AI34" i="15"/>
  <c r="Z35" i="15"/>
  <c r="AI37" i="15"/>
  <c r="AC37" i="15" s="1"/>
  <c r="AI40" i="15"/>
  <c r="AC40" i="15" s="1"/>
  <c r="AG42" i="15"/>
  <c r="AI43" i="15"/>
  <c r="AJ46" i="15"/>
  <c r="Y52" i="15"/>
  <c r="AH82" i="15"/>
  <c r="Z69" i="15"/>
  <c r="AA74" i="15"/>
  <c r="AN74" i="15"/>
  <c r="AL26" i="15"/>
  <c r="AK72" i="15"/>
  <c r="AA73" i="15"/>
  <c r="AN73" i="15"/>
  <c r="Y34" i="15"/>
  <c r="AQ42" i="15"/>
  <c r="Y54" i="15"/>
  <c r="Y55" i="15"/>
  <c r="AG55" i="15"/>
  <c r="AC55" i="15" s="1"/>
  <c r="AB59" i="15"/>
  <c r="AB62" i="15"/>
  <c r="Y63" i="15"/>
  <c r="AI63" i="15"/>
  <c r="AC63" i="15" s="1"/>
  <c r="AG65" i="15"/>
  <c r="Y65" i="15"/>
  <c r="AN79" i="15"/>
  <c r="AA79" i="15"/>
  <c r="U83" i="15"/>
  <c r="AN70" i="15"/>
  <c r="AA70" i="15"/>
  <c r="AN78" i="15"/>
  <c r="AA78" i="15"/>
  <c r="AS54" i="15"/>
  <c r="AI79" i="15" s="1"/>
  <c r="AJ82" i="15"/>
  <c r="Z77" i="15"/>
  <c r="AL54" i="15"/>
  <c r="AJ62" i="15"/>
  <c r="AG64" i="15"/>
  <c r="AC64" i="15" s="1"/>
  <c r="AB54" i="15"/>
  <c r="Y56" i="15"/>
  <c r="Y59" i="15"/>
  <c r="AA82" i="15"/>
  <c r="AN82" i="15"/>
  <c r="Z81" i="15"/>
  <c r="Z61" i="15"/>
  <c r="Z64" i="15"/>
  <c r="AC75" i="23" l="1"/>
  <c r="AC73" i="21"/>
  <c r="AC75" i="20"/>
  <c r="AC79" i="20"/>
  <c r="AC68" i="23"/>
  <c r="AC74" i="21"/>
  <c r="AC69" i="21"/>
  <c r="AC70" i="20"/>
  <c r="Z83" i="20"/>
  <c r="Y71" i="15"/>
  <c r="AC81" i="20"/>
  <c r="AC80" i="23"/>
  <c r="Y83" i="23"/>
  <c r="Y83" i="19"/>
  <c r="AC76" i="21"/>
  <c r="Z83" i="22"/>
  <c r="AC81" i="22"/>
  <c r="AC70" i="22"/>
  <c r="AA83" i="22"/>
  <c r="AC78" i="23"/>
  <c r="AC70" i="23"/>
  <c r="Z83" i="19"/>
  <c r="Z70" i="15"/>
  <c r="Z83" i="21"/>
  <c r="AC73" i="23"/>
  <c r="AC70" i="19"/>
  <c r="AB83" i="19"/>
  <c r="AD68" i="19" s="1"/>
  <c r="AC73" i="20"/>
  <c r="AC72" i="20"/>
  <c r="AC79" i="23"/>
  <c r="Z83" i="23"/>
  <c r="AC71" i="23"/>
  <c r="AA83" i="23"/>
  <c r="AB83" i="23"/>
  <c r="AD81" i="23" s="1"/>
  <c r="AC76" i="22"/>
  <c r="Y83" i="22"/>
  <c r="AC77" i="22"/>
  <c r="AB83" i="22"/>
  <c r="AD69" i="22" s="1"/>
  <c r="AC79" i="22"/>
  <c r="AC70" i="21"/>
  <c r="AB83" i="21"/>
  <c r="AD69" i="21" s="1"/>
  <c r="AA83" i="21"/>
  <c r="AC80" i="21"/>
  <c r="Y83" i="21"/>
  <c r="AB83" i="20"/>
  <c r="AD80" i="20" s="1"/>
  <c r="AC68" i="20"/>
  <c r="AC80" i="20"/>
  <c r="AA83" i="20"/>
  <c r="Y83" i="20"/>
  <c r="AC72" i="19"/>
  <c r="AA83" i="19"/>
  <c r="AC77" i="19"/>
  <c r="AC76" i="19"/>
  <c r="AC73" i="19"/>
  <c r="AC10" i="15"/>
  <c r="Y68" i="15"/>
  <c r="AG68" i="15"/>
  <c r="AC68" i="15" s="1"/>
  <c r="AC31" i="15"/>
  <c r="AC36" i="15"/>
  <c r="Z76" i="15"/>
  <c r="Z74" i="15"/>
  <c r="Z78" i="15"/>
  <c r="AC49" i="15"/>
  <c r="Z68" i="15"/>
  <c r="Y77" i="15"/>
  <c r="AB77" i="15"/>
  <c r="AB69" i="15"/>
  <c r="Y69" i="15"/>
  <c r="AC69" i="15"/>
  <c r="AB68" i="15"/>
  <c r="AB73" i="15"/>
  <c r="Z73" i="15"/>
  <c r="AC71" i="15"/>
  <c r="T83" i="15"/>
  <c r="AC21" i="15"/>
  <c r="AC46" i="15"/>
  <c r="AC43" i="15"/>
  <c r="AG73" i="15"/>
  <c r="AC73" i="15" s="1"/>
  <c r="Y73" i="15"/>
  <c r="AC30" i="15"/>
  <c r="AC54" i="15"/>
  <c r="Z79" i="15"/>
  <c r="AC34" i="15"/>
  <c r="Z72" i="15"/>
  <c r="AC50" i="15"/>
  <c r="Z80" i="15"/>
  <c r="AC18" i="15"/>
  <c r="AB71" i="15"/>
  <c r="AC14" i="15"/>
  <c r="Z71" i="15"/>
  <c r="AC38" i="15"/>
  <c r="AC15" i="15"/>
  <c r="AC77" i="15"/>
  <c r="P83" i="15"/>
  <c r="O83" i="15"/>
  <c r="AA83" i="15"/>
  <c r="AC22" i="15"/>
  <c r="Y75" i="15"/>
  <c r="AG75" i="15"/>
  <c r="AC75" i="15" s="1"/>
  <c r="AB75" i="15"/>
  <c r="AC44" i="15"/>
  <c r="AC79" i="15"/>
  <c r="Q83" i="15"/>
  <c r="Y79" i="15"/>
  <c r="AC42" i="15"/>
  <c r="Z82" i="15"/>
  <c r="AC26" i="15"/>
  <c r="AC62" i="15"/>
  <c r="AG70" i="15"/>
  <c r="AC70" i="15" s="1"/>
  <c r="AB70" i="15"/>
  <c r="Y70" i="15"/>
  <c r="Z75" i="15"/>
  <c r="AB79" i="15"/>
  <c r="AB74" i="15"/>
  <c r="AG74" i="15"/>
  <c r="AC74" i="15" s="1"/>
  <c r="Y74" i="15"/>
  <c r="AG78" i="15"/>
  <c r="AC78" i="15" s="1"/>
  <c r="AB78" i="15"/>
  <c r="Y78" i="15"/>
  <c r="AC65" i="15"/>
  <c r="Y76" i="15"/>
  <c r="AG76" i="15"/>
  <c r="AC76" i="15" s="1"/>
  <c r="AB76" i="15"/>
  <c r="AB81" i="15"/>
  <c r="AG81" i="15"/>
  <c r="AC81" i="15" s="1"/>
  <c r="Y81" i="15"/>
  <c r="AC41" i="15"/>
  <c r="AB72" i="15"/>
  <c r="Y72" i="15"/>
  <c r="AG72" i="15"/>
  <c r="AC72" i="15" s="1"/>
  <c r="AC58" i="15"/>
  <c r="R83" i="15"/>
  <c r="AB82" i="15"/>
  <c r="Y82" i="15"/>
  <c r="AG82" i="15"/>
  <c r="AC82" i="15" s="1"/>
  <c r="AB80" i="15"/>
  <c r="Y80" i="15"/>
  <c r="AG80" i="15"/>
  <c r="AC80" i="15" s="1"/>
  <c r="AC47" i="15"/>
  <c r="AD79" i="23" l="1"/>
  <c r="AD72" i="22"/>
  <c r="AD71" i="22"/>
  <c r="AC86" i="21"/>
  <c r="AD80" i="21"/>
  <c r="AD77" i="21"/>
  <c r="AD70" i="21"/>
  <c r="AD73" i="21"/>
  <c r="AD74" i="21"/>
  <c r="AD81" i="21"/>
  <c r="AD76" i="21"/>
  <c r="AD68" i="21"/>
  <c r="AD72" i="21"/>
  <c r="AD70" i="20"/>
  <c r="AD73" i="20"/>
  <c r="AD75" i="20"/>
  <c r="AD74" i="20"/>
  <c r="AD83" i="19"/>
  <c r="AD82" i="19"/>
  <c r="AD70" i="19"/>
  <c r="AD80" i="19"/>
  <c r="AD78" i="19"/>
  <c r="AD73" i="19"/>
  <c r="AD81" i="19"/>
  <c r="AD71" i="19"/>
  <c r="AD79" i="19"/>
  <c r="AD75" i="19"/>
  <c r="AD74" i="19"/>
  <c r="AD77" i="19"/>
  <c r="AD69" i="19"/>
  <c r="AD76" i="19"/>
  <c r="AD72" i="19"/>
  <c r="AD70" i="22"/>
  <c r="AD79" i="22"/>
  <c r="AD73" i="23"/>
  <c r="AD71" i="23"/>
  <c r="AD76" i="23"/>
  <c r="AD83" i="23"/>
  <c r="AD82" i="23"/>
  <c r="AD68" i="23"/>
  <c r="AD74" i="23"/>
  <c r="AD75" i="23"/>
  <c r="AD69" i="23"/>
  <c r="AD77" i="23"/>
  <c r="AC86" i="23"/>
  <c r="AC83" i="23"/>
  <c r="AE79" i="23" s="1"/>
  <c r="AD70" i="23"/>
  <c r="AD72" i="23"/>
  <c r="AD78" i="23"/>
  <c r="AD80" i="23"/>
  <c r="AD83" i="22"/>
  <c r="AD82" i="22"/>
  <c r="AD68" i="22"/>
  <c r="AD75" i="22"/>
  <c r="AD81" i="22"/>
  <c r="AD73" i="22"/>
  <c r="AD76" i="22"/>
  <c r="AC83" i="22"/>
  <c r="AE77" i="22" s="1"/>
  <c r="AD74" i="22"/>
  <c r="AC86" i="22"/>
  <c r="AD80" i="22"/>
  <c r="AD77" i="22"/>
  <c r="AD78" i="22"/>
  <c r="AD83" i="21"/>
  <c r="AD82" i="21"/>
  <c r="AD75" i="21"/>
  <c r="AD71" i="21"/>
  <c r="AD78" i="21"/>
  <c r="AD79" i="21"/>
  <c r="AC83" i="21"/>
  <c r="AE80" i="21" s="1"/>
  <c r="AD83" i="20"/>
  <c r="AD82" i="20"/>
  <c r="AD69" i="20"/>
  <c r="AD68" i="20"/>
  <c r="AC86" i="20"/>
  <c r="AC83" i="20"/>
  <c r="AD72" i="20"/>
  <c r="AD79" i="20"/>
  <c r="AD71" i="20"/>
  <c r="AD78" i="20"/>
  <c r="AD81" i="20"/>
  <c r="AD77" i="20"/>
  <c r="AD76" i="20"/>
  <c r="AC83" i="19"/>
  <c r="AC86" i="19"/>
  <c r="Z83" i="15"/>
  <c r="AB83" i="15"/>
  <c r="AD78" i="15" s="1"/>
  <c r="AC86" i="15"/>
  <c r="AC83" i="15"/>
  <c r="Y83" i="15"/>
  <c r="AE79" i="22" l="1"/>
  <c r="AE83" i="23"/>
  <c r="AE82" i="23"/>
  <c r="AE78" i="23"/>
  <c r="AE72" i="23"/>
  <c r="AE80" i="23"/>
  <c r="AE73" i="23"/>
  <c r="AE68" i="23"/>
  <c r="AE70" i="23"/>
  <c r="AE77" i="23"/>
  <c r="AE74" i="23"/>
  <c r="AE69" i="23"/>
  <c r="AE81" i="23"/>
  <c r="AE76" i="23"/>
  <c r="AE75" i="23"/>
  <c r="AE71" i="23"/>
  <c r="AE83" i="22"/>
  <c r="AE82" i="22"/>
  <c r="AE75" i="22"/>
  <c r="AE70" i="22"/>
  <c r="AE73" i="22"/>
  <c r="AE68" i="22"/>
  <c r="AE72" i="22"/>
  <c r="AE74" i="22"/>
  <c r="AE81" i="22"/>
  <c r="AE78" i="22"/>
  <c r="AE80" i="22"/>
  <c r="AE71" i="22"/>
  <c r="AE69" i="22"/>
  <c r="AE76" i="22"/>
  <c r="AE83" i="21"/>
  <c r="AE82" i="21"/>
  <c r="AE71" i="21"/>
  <c r="AE79" i="21"/>
  <c r="AE69" i="21"/>
  <c r="AE75" i="21"/>
  <c r="AE74" i="21"/>
  <c r="AE77" i="21"/>
  <c r="AE73" i="21"/>
  <c r="AE78" i="21"/>
  <c r="AE76" i="21"/>
  <c r="AE72" i="21"/>
  <c r="AE81" i="21"/>
  <c r="AE68" i="21"/>
  <c r="AE70" i="21"/>
  <c r="AE83" i="20"/>
  <c r="AE82" i="20"/>
  <c r="AE69" i="20"/>
  <c r="AE76" i="20"/>
  <c r="AE70" i="20"/>
  <c r="AE78" i="20"/>
  <c r="AE71" i="20"/>
  <c r="AE73" i="20"/>
  <c r="AE81" i="20"/>
  <c r="AE75" i="20"/>
  <c r="AE79" i="20"/>
  <c r="AE74" i="20"/>
  <c r="AE77" i="20"/>
  <c r="AE72" i="20"/>
  <c r="AE68" i="20"/>
  <c r="AE80" i="20"/>
  <c r="AE83" i="19"/>
  <c r="AE82" i="19"/>
  <c r="AE71" i="19"/>
  <c r="AE80" i="19"/>
  <c r="AE75" i="19"/>
  <c r="AE81" i="19"/>
  <c r="AE69" i="19"/>
  <c r="AE68" i="19"/>
  <c r="AE78" i="19"/>
  <c r="AE70" i="19"/>
  <c r="AE79" i="19"/>
  <c r="AE74" i="19"/>
  <c r="AE73" i="19"/>
  <c r="AE76" i="19"/>
  <c r="AE72" i="19"/>
  <c r="AE77" i="19"/>
  <c r="AE74" i="15"/>
  <c r="AE76" i="15"/>
  <c r="AD79" i="15"/>
  <c r="AE78" i="15"/>
  <c r="AE77" i="15"/>
  <c r="AE80" i="15"/>
  <c r="AE73" i="15"/>
  <c r="AE68" i="15"/>
  <c r="AE75" i="15"/>
  <c r="AE70" i="15"/>
  <c r="AE82" i="15"/>
  <c r="AD70" i="15"/>
  <c r="AD80" i="15"/>
  <c r="AD74" i="15"/>
  <c r="AD72" i="15"/>
  <c r="AD82" i="15"/>
  <c r="AD75" i="15"/>
  <c r="AD83" i="15"/>
  <c r="AD68" i="15"/>
  <c r="AD73" i="15"/>
  <c r="AD71" i="15"/>
  <c r="AD77" i="15"/>
  <c r="AD69" i="15"/>
  <c r="AE83" i="15"/>
  <c r="AE71" i="15"/>
  <c r="AE69" i="15"/>
  <c r="AD81" i="15"/>
  <c r="AE72" i="15"/>
  <c r="AE81" i="15"/>
  <c r="AD76" i="15"/>
  <c r="AE79" i="15"/>
</calcChain>
</file>

<file path=xl/sharedStrings.xml><?xml version="1.0" encoding="utf-8"?>
<sst xmlns="http://schemas.openxmlformats.org/spreadsheetml/2006/main" count="293" uniqueCount="49">
  <si>
    <t>Time Period</t>
  </si>
  <si>
    <t>Public transport</t>
  </si>
  <si>
    <t>Delivery vehicles</t>
  </si>
  <si>
    <t>TOTAL
(in vehicles)</t>
  </si>
  <si>
    <t>TOTAL
(in PCU)</t>
  </si>
  <si>
    <t>PCU</t>
  </si>
  <si>
    <t>COUNTER</t>
  </si>
  <si>
    <t>SUM</t>
  </si>
  <si>
    <t>TALLY</t>
  </si>
  <si>
    <t>FINAL VOLUMES</t>
  </si>
  <si>
    <t>Private vehicles</t>
  </si>
  <si>
    <t>HOURLY VOLUMES</t>
  </si>
  <si>
    <t>RAW SURVEY DATA</t>
  </si>
  <si>
    <t>QUARTERLY VOLUMES</t>
  </si>
  <si>
    <t>Peak hour volume</t>
  </si>
  <si>
    <t>Peak hour period</t>
  </si>
  <si>
    <t>% shares</t>
    <phoneticPr fontId="9" type="noConversion"/>
  </si>
  <si>
    <t>TOTAL</t>
    <phoneticPr fontId="9" type="noConversion"/>
  </si>
  <si>
    <t>Daily share%</t>
    <phoneticPr fontId="9" type="noConversion"/>
  </si>
  <si>
    <t>PCU VALUES</t>
    <phoneticPr fontId="9" type="noConversion"/>
  </si>
  <si>
    <t>HOURLY SUMS</t>
    <phoneticPr fontId="9" type="noConversion"/>
  </si>
  <si>
    <t>O6*O$4</t>
    <phoneticPr fontId="9" type="noConversion"/>
  </si>
  <si>
    <t>AB72/AB$88</t>
    <phoneticPr fontId="9" type="noConversion"/>
  </si>
  <si>
    <t>6 TO 7 PM</t>
    <phoneticPr fontId="9" type="noConversion"/>
  </si>
  <si>
    <t>Stn Code</t>
    <phoneticPr fontId="9" type="noConversion"/>
  </si>
  <si>
    <t>Stn Name</t>
    <phoneticPr fontId="9" type="noConversion"/>
  </si>
  <si>
    <t>Date</t>
    <phoneticPr fontId="9" type="noConversion"/>
  </si>
  <si>
    <t>Direxn Code</t>
    <phoneticPr fontId="9" type="noConversion"/>
  </si>
  <si>
    <t>TC2</t>
  </si>
  <si>
    <t>TINIGUIBAN</t>
  </si>
  <si>
    <t>1-3</t>
  </si>
  <si>
    <t>October 20, 2023</t>
  </si>
  <si>
    <t>Private Car</t>
  </si>
  <si>
    <t>MC</t>
  </si>
  <si>
    <t>Tricycle</t>
  </si>
  <si>
    <t>PUJ</t>
  </si>
  <si>
    <t>Public Van</t>
  </si>
  <si>
    <t xml:space="preserve">Bus </t>
  </si>
  <si>
    <t>Truck</t>
  </si>
  <si>
    <t>Light Goods</t>
  </si>
  <si>
    <t>Others</t>
  </si>
  <si>
    <t>1-4</t>
  </si>
  <si>
    <t>October 20,2023</t>
  </si>
  <si>
    <t>Private car</t>
  </si>
  <si>
    <t>3-1</t>
  </si>
  <si>
    <t>Bus</t>
  </si>
  <si>
    <t>3-4</t>
  </si>
  <si>
    <t>4-1</t>
  </si>
  <si>
    <t>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</si>
</sst>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5" formatCode="0.0%"/>
    <numFmt numFmtId="166" formatCode="#,##0_ "/>
  </numFmts>
  <fonts count="22">
    <font>
      <sz val="11"/>
      <color theme="1"/>
      <name val="Calibri"/>
      <family val="2"/>
      <scheme val="minor"/>
    </font>
    <font>
      <sz val="8"/>
      <name val="Tahoma"/>
      <family val="2"/>
    </font>
    <font>
      <sz val="8"/>
      <color indexed="22"/>
      <name val="Tahoma"/>
      <family val="2"/>
    </font>
    <font>
      <sz val="8"/>
      <color indexed="12"/>
      <name val="Tahoma"/>
      <family val="2"/>
    </font>
    <font>
      <b/>
      <sz val="8"/>
      <name val="Tahoma"/>
      <family val="2"/>
    </font>
    <font>
      <sz val="8"/>
      <color indexed="8"/>
      <name val="Tahoma"/>
      <family val="2"/>
    </font>
    <font>
      <sz val="8"/>
      <color theme="1"/>
      <name val="Tahoma"/>
      <family val="2"/>
    </font>
    <font>
      <sz val="6"/>
      <name val="Tahoma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indexed="12"/>
      <name val="Calibri"/>
      <family val="2"/>
    </font>
    <font>
      <b/>
      <sz val="8"/>
      <name val="Calibri"/>
      <family val="2"/>
    </font>
    <font>
      <sz val="8"/>
      <color theme="1"/>
      <name val="Calibri"/>
      <family val="2"/>
    </font>
    <font>
      <sz val="6"/>
      <color rgb="FFFF0000"/>
      <name val="Tahoma"/>
      <family val="2"/>
    </font>
    <font>
      <b/>
      <sz val="10"/>
      <color theme="1"/>
      <name val="Calibri"/>
      <family val="2"/>
    </font>
    <font>
      <sz val="14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4">
    <xf numFmtId="0" fontId="0" fillId="0" borderId="0" xfId="0"/>
    <xf numFmtId="20" fontId="1" fillId="0" borderId="0" xfId="0" applyNumberFormat="1" applyFont="1" applyAlignment="1">
      <alignment vertical="center"/>
    </xf>
    <xf numFmtId="20" fontId="1" fillId="0" borderId="9" xfId="0" applyNumberFormat="1" applyFont="1" applyBorder="1" applyAlignment="1">
      <alignment vertical="center"/>
    </xf>
    <xf numFmtId="20" fontId="1" fillId="0" borderId="15" xfId="0" applyNumberFormat="1" applyFont="1" applyBorder="1" applyAlignment="1">
      <alignment vertical="center"/>
    </xf>
    <xf numFmtId="20" fontId="1" fillId="0" borderId="2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20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3" fontId="1" fillId="0" borderId="0" xfId="0" applyNumberFormat="1" applyFont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1" fillId="0" borderId="2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164" fontId="5" fillId="2" borderId="5" xfId="0" applyNumberFormat="1" applyFont="1" applyFill="1" applyBorder="1" applyAlignment="1">
      <alignment vertical="center"/>
    </xf>
    <xf numFmtId="164" fontId="5" fillId="2" borderId="10" xfId="0" applyNumberFormat="1" applyFont="1" applyFill="1" applyBorder="1" applyAlignment="1">
      <alignment vertical="center"/>
    </xf>
    <xf numFmtId="164" fontId="5" fillId="2" borderId="11" xfId="0" applyNumberFormat="1" applyFont="1" applyFill="1" applyBorder="1" applyAlignment="1">
      <alignment vertical="center"/>
    </xf>
    <xf numFmtId="164" fontId="5" fillId="2" borderId="16" xfId="0" applyNumberFormat="1" applyFont="1" applyFill="1" applyBorder="1" applyAlignment="1">
      <alignment vertical="center"/>
    </xf>
    <xf numFmtId="164" fontId="5" fillId="2" borderId="17" xfId="0" applyNumberFormat="1" applyFont="1" applyFill="1" applyBorder="1" applyAlignment="1">
      <alignment vertical="center"/>
    </xf>
    <xf numFmtId="0" fontId="0" fillId="0" borderId="0" xfId="0" applyAlignment="1">
      <alignment vertical="top"/>
    </xf>
    <xf numFmtId="38" fontId="6" fillId="0" borderId="4" xfId="0" applyNumberFormat="1" applyFont="1" applyBorder="1" applyAlignment="1">
      <alignment vertical="center"/>
    </xf>
    <xf numFmtId="38" fontId="6" fillId="0" borderId="5" xfId="0" applyNumberFormat="1" applyFont="1" applyBorder="1" applyAlignment="1">
      <alignment vertical="center"/>
    </xf>
    <xf numFmtId="38" fontId="6" fillId="0" borderId="6" xfId="0" applyNumberFormat="1" applyFont="1" applyBorder="1" applyAlignment="1">
      <alignment vertical="center"/>
    </xf>
    <xf numFmtId="38" fontId="6" fillId="0" borderId="7" xfId="0" applyNumberFormat="1" applyFont="1" applyBorder="1" applyAlignment="1">
      <alignment vertical="center"/>
    </xf>
    <xf numFmtId="38" fontId="6" fillId="0" borderId="8" xfId="0" applyNumberFormat="1" applyFont="1" applyBorder="1" applyAlignment="1">
      <alignment vertical="center"/>
    </xf>
    <xf numFmtId="38" fontId="6" fillId="0" borderId="10" xfId="0" applyNumberFormat="1" applyFont="1" applyBorder="1" applyAlignment="1">
      <alignment vertical="center"/>
    </xf>
    <xf numFmtId="38" fontId="6" fillId="0" borderId="11" xfId="0" applyNumberFormat="1" applyFont="1" applyBorder="1" applyAlignment="1">
      <alignment vertical="center"/>
    </xf>
    <xf numFmtId="38" fontId="6" fillId="0" borderId="12" xfId="0" applyNumberFormat="1" applyFont="1" applyBorder="1" applyAlignment="1">
      <alignment vertical="center"/>
    </xf>
    <xf numFmtId="38" fontId="6" fillId="0" borderId="13" xfId="0" applyNumberFormat="1" applyFont="1" applyBorder="1" applyAlignment="1">
      <alignment vertical="center"/>
    </xf>
    <xf numFmtId="38" fontId="6" fillId="0" borderId="14" xfId="0" applyNumberFormat="1" applyFont="1" applyBorder="1" applyAlignment="1">
      <alignment vertical="center"/>
    </xf>
    <xf numFmtId="38" fontId="6" fillId="0" borderId="16" xfId="0" applyNumberFormat="1" applyFont="1" applyBorder="1" applyAlignment="1">
      <alignment vertical="center"/>
    </xf>
    <xf numFmtId="38" fontId="6" fillId="0" borderId="17" xfId="0" applyNumberFormat="1" applyFont="1" applyBorder="1" applyAlignment="1">
      <alignment vertical="center"/>
    </xf>
    <xf numFmtId="38" fontId="6" fillId="0" borderId="18" xfId="0" applyNumberFormat="1" applyFont="1" applyBorder="1" applyAlignment="1">
      <alignment vertical="center"/>
    </xf>
    <xf numFmtId="38" fontId="6" fillId="0" borderId="19" xfId="0" applyNumberFormat="1" applyFont="1" applyBorder="1" applyAlignment="1">
      <alignment vertical="center"/>
    </xf>
    <xf numFmtId="38" fontId="6" fillId="0" borderId="20" xfId="0" applyNumberFormat="1" applyFont="1" applyBorder="1" applyAlignment="1">
      <alignment vertical="center"/>
    </xf>
    <xf numFmtId="38" fontId="6" fillId="0" borderId="22" xfId="0" applyNumberFormat="1" applyFont="1" applyBorder="1" applyAlignment="1">
      <alignment vertical="center"/>
    </xf>
    <xf numFmtId="38" fontId="6" fillId="0" borderId="23" xfId="0" applyNumberFormat="1" applyFont="1" applyBorder="1" applyAlignment="1">
      <alignment vertical="center"/>
    </xf>
    <xf numFmtId="38" fontId="6" fillId="0" borderId="24" xfId="0" applyNumberFormat="1" applyFont="1" applyBorder="1" applyAlignment="1">
      <alignment vertical="center"/>
    </xf>
    <xf numFmtId="38" fontId="6" fillId="0" borderId="25" xfId="0" applyNumberFormat="1" applyFont="1" applyBorder="1" applyAlignment="1">
      <alignment vertical="center"/>
    </xf>
    <xf numFmtId="38" fontId="6" fillId="0" borderId="26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20" fontId="12" fillId="0" borderId="15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165" fontId="13" fillId="0" borderId="0" xfId="1" applyNumberFormat="1" applyFont="1" applyAlignment="1">
      <alignment vertical="center"/>
    </xf>
    <xf numFmtId="20" fontId="12" fillId="0" borderId="0" xfId="0" applyNumberFormat="1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top"/>
    </xf>
    <xf numFmtId="0" fontId="14" fillId="0" borderId="0" xfId="0" applyFont="1" applyAlignment="1">
      <alignment horizontal="right" vertical="center"/>
    </xf>
    <xf numFmtId="38" fontId="13" fillId="3" borderId="0" xfId="0" applyNumberFormat="1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" fillId="0" borderId="0" xfId="0" applyFont="1" applyAlignment="1">
      <alignment horizontal="left" vertical="top" wrapText="1"/>
    </xf>
    <xf numFmtId="20" fontId="12" fillId="0" borderId="0" xfId="0" applyNumberFormat="1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64" fontId="17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6" fontId="13" fillId="0" borderId="0" xfId="0" applyNumberFormat="1" applyFont="1" applyAlignment="1">
      <alignment vertical="center"/>
    </xf>
    <xf numFmtId="38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9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20" fontId="1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6"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D6C2-EF85-4C6B-BCD3-C1B07E70CAA5}">
  <dimension ref="A1:AY90"/>
  <sheetViews>
    <sheetView tabSelected="1" zoomScale="115" zoomScaleNormal="115" workbookViewId="0">
      <pane xSplit="2" ySplit="9" topLeftCell="C64" activePane="bottomRight" state="frozen"/>
      <selection activeCell="D4" sqref="D4"/>
      <selection pane="topRight" activeCell="D4" sqref="D4"/>
      <selection pane="bottomLeft" activeCell="D4" sqref="D4"/>
      <selection pane="bottomRight" activeCell="O68" sqref="O68"/>
    </sheetView>
  </sheetViews>
  <sheetFormatPr defaultColWidth="8.85546875" defaultRowHeight="15"/>
  <cols>
    <col min="1" max="2" width="5.7109375" style="5" customWidth="1"/>
    <col min="3" max="12" width="6.7109375" style="5" customWidth="1"/>
    <col min="13" max="14" width="5.7109375" style="48" customWidth="1"/>
    <col min="15" max="15" width="7.7109375" style="5" customWidth="1"/>
    <col min="16" max="24" width="6.7109375" style="5" customWidth="1"/>
    <col min="25" max="29" width="8.85546875" style="5"/>
    <col min="30" max="42" width="8.85546875" style="48"/>
    <col min="43" max="43" width="10" style="48" bestFit="1" customWidth="1"/>
    <col min="44" max="46" width="8.85546875" style="48"/>
    <col min="47" max="16384" width="8.85546875" style="5"/>
  </cols>
  <sheetData>
    <row r="1" spans="1:51" s="46" customFormat="1">
      <c r="A1" s="45" t="s">
        <v>12</v>
      </c>
      <c r="M1" s="48"/>
      <c r="N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</row>
    <row r="2" spans="1:51" s="46" customFormat="1">
      <c r="A2" s="71" t="s">
        <v>24</v>
      </c>
      <c r="C2" s="46" t="s">
        <v>28</v>
      </c>
      <c r="I2" s="46" t="s">
        <v>26</v>
      </c>
      <c r="J2" s="46" t="s">
        <v>31</v>
      </c>
      <c r="M2" s="48"/>
      <c r="N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</row>
    <row r="3" spans="1:51" s="46" customFormat="1">
      <c r="A3" s="71" t="s">
        <v>25</v>
      </c>
      <c r="C3" s="46" t="s">
        <v>29</v>
      </c>
      <c r="M3" s="48"/>
      <c r="N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</row>
    <row r="4" spans="1:51" s="46" customFormat="1">
      <c r="A4" s="71" t="s">
        <v>27</v>
      </c>
      <c r="C4" s="72" t="s">
        <v>30</v>
      </c>
      <c r="M4" s="48"/>
      <c r="N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</row>
    <row r="5" spans="1:51" s="46" customFormat="1">
      <c r="A5" s="45"/>
      <c r="M5" s="48"/>
      <c r="N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</row>
    <row r="6" spans="1:51" s="46" customFormat="1">
      <c r="A6" s="45" t="s">
        <v>13</v>
      </c>
      <c r="M6" s="48"/>
      <c r="N6" s="48"/>
      <c r="O6" s="45" t="s">
        <v>9</v>
      </c>
      <c r="P6" s="45"/>
      <c r="Q6" s="45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</row>
    <row r="7" spans="1:51" s="23" customFormat="1" ht="31.5">
      <c r="A7" s="73" t="s">
        <v>0</v>
      </c>
      <c r="B7" s="73"/>
      <c r="C7" s="59" t="s">
        <v>32</v>
      </c>
      <c r="D7" s="59" t="s">
        <v>33</v>
      </c>
      <c r="E7" s="59" t="s">
        <v>34</v>
      </c>
      <c r="F7" s="59" t="s">
        <v>35</v>
      </c>
      <c r="G7" s="59" t="s">
        <v>36</v>
      </c>
      <c r="H7" s="59" t="s">
        <v>37</v>
      </c>
      <c r="I7" s="59" t="s">
        <v>38</v>
      </c>
      <c r="J7" s="59" t="s">
        <v>39</v>
      </c>
      <c r="K7" s="59" t="s">
        <v>40</v>
      </c>
      <c r="L7" s="59"/>
      <c r="M7" s="60"/>
      <c r="N7" s="60"/>
      <c r="O7" s="59" t="str">
        <f>C7</f>
        <v>Private Car</v>
      </c>
      <c r="P7" s="59" t="str">
        <f>D7</f>
        <v>MC</v>
      </c>
      <c r="Q7" s="59" t="str">
        <f t="shared" ref="Q7:X7" si="0">E7</f>
        <v>Tricycle</v>
      </c>
      <c r="R7" s="59" t="str">
        <f t="shared" si="0"/>
        <v>PUJ</v>
      </c>
      <c r="S7" s="59" t="str">
        <f t="shared" si="0"/>
        <v>Public Van</v>
      </c>
      <c r="T7" s="59" t="str">
        <f t="shared" si="0"/>
        <v xml:space="preserve">Bus </v>
      </c>
      <c r="U7" s="59" t="str">
        <f t="shared" si="0"/>
        <v>Truck</v>
      </c>
      <c r="V7" s="59" t="str">
        <f t="shared" si="0"/>
        <v>Light Goods</v>
      </c>
      <c r="W7" s="59" t="str">
        <f t="shared" si="0"/>
        <v>Others</v>
      </c>
      <c r="X7" s="59">
        <f t="shared" si="0"/>
        <v>0</v>
      </c>
      <c r="Y7" s="61" t="s">
        <v>10</v>
      </c>
      <c r="Z7" s="62" t="s">
        <v>1</v>
      </c>
      <c r="AA7" s="62" t="s">
        <v>2</v>
      </c>
      <c r="AB7" s="61" t="s">
        <v>3</v>
      </c>
      <c r="AC7" s="63" t="s">
        <v>4</v>
      </c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</row>
    <row r="8" spans="1:51">
      <c r="A8" s="6">
        <v>2.0833333333333332E-2</v>
      </c>
      <c r="C8" s="65" t="s">
        <v>6</v>
      </c>
      <c r="D8" s="65" t="s">
        <v>6</v>
      </c>
      <c r="E8" s="65" t="s">
        <v>6</v>
      </c>
      <c r="F8" s="65" t="s">
        <v>6</v>
      </c>
      <c r="G8" s="44" t="s">
        <v>8</v>
      </c>
      <c r="H8" s="65" t="s">
        <v>6</v>
      </c>
      <c r="I8" s="44" t="s">
        <v>8</v>
      </c>
      <c r="J8" s="44" t="s">
        <v>8</v>
      </c>
      <c r="K8" s="44" t="s">
        <v>8</v>
      </c>
      <c r="L8" s="44"/>
      <c r="M8" s="57"/>
      <c r="N8" s="57" t="s">
        <v>5</v>
      </c>
      <c r="O8" s="8">
        <v>0.5</v>
      </c>
      <c r="P8" s="8">
        <v>0.5</v>
      </c>
      <c r="Q8" s="8">
        <v>1</v>
      </c>
      <c r="R8" s="8">
        <v>1</v>
      </c>
      <c r="S8" s="8">
        <v>1</v>
      </c>
      <c r="T8" s="8">
        <v>1.5</v>
      </c>
      <c r="U8" s="8">
        <v>2</v>
      </c>
      <c r="V8" s="7">
        <v>1.5</v>
      </c>
      <c r="W8" s="7">
        <v>2.5</v>
      </c>
      <c r="X8" s="7">
        <v>1</v>
      </c>
      <c r="Y8" s="9"/>
      <c r="Z8" s="10"/>
      <c r="AA8" s="10"/>
      <c r="AB8" s="9"/>
      <c r="AC8" s="11"/>
      <c r="AG8" s="68" t="s">
        <v>19</v>
      </c>
      <c r="AQ8" s="48" t="s">
        <v>20</v>
      </c>
    </row>
    <row r="9" spans="1:51">
      <c r="A9" s="1"/>
      <c r="B9" s="12" t="s">
        <v>7</v>
      </c>
      <c r="C9" s="8"/>
      <c r="D9" s="8"/>
      <c r="E9" s="8"/>
      <c r="F9" s="8"/>
      <c r="G9" s="8"/>
      <c r="H9" s="8"/>
      <c r="I9" s="12"/>
      <c r="J9" s="12"/>
      <c r="K9" s="12"/>
      <c r="L9" s="12"/>
      <c r="M9" s="58"/>
      <c r="N9" s="12" t="s">
        <v>17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4"/>
      <c r="Z9" s="15"/>
      <c r="AA9" s="15"/>
      <c r="AB9" s="14"/>
      <c r="AC9" s="16"/>
      <c r="AG9" s="48" t="s">
        <v>21</v>
      </c>
    </row>
    <row r="10" spans="1:51">
      <c r="A10" s="3">
        <v>0.29166666666666674</v>
      </c>
      <c r="B10" s="3">
        <f t="shared" ref="B10:B65" si="1">$A$8+A10</f>
        <v>0.31250000000000006</v>
      </c>
      <c r="C10" s="21"/>
      <c r="D10" s="21"/>
      <c r="E10" s="22"/>
      <c r="F10" s="22"/>
      <c r="G10" s="22"/>
      <c r="H10" s="22"/>
      <c r="I10" s="22"/>
      <c r="J10" s="22"/>
      <c r="K10" s="22"/>
      <c r="L10" s="22"/>
      <c r="O10" s="34">
        <v>182</v>
      </c>
      <c r="P10" s="34">
        <v>542</v>
      </c>
      <c r="Q10" s="34">
        <v>169</v>
      </c>
      <c r="R10" s="35">
        <v>61</v>
      </c>
      <c r="S10" s="35">
        <v>7</v>
      </c>
      <c r="T10" s="35">
        <v>1</v>
      </c>
      <c r="U10" s="35">
        <v>4</v>
      </c>
      <c r="V10" s="35">
        <v>21</v>
      </c>
      <c r="W10" s="35">
        <v>5</v>
      </c>
      <c r="X10" s="35">
        <f t="shared" ref="X10" si="2">L10-L9</f>
        <v>0</v>
      </c>
      <c r="Y10" s="36">
        <f t="shared" ref="Y10" si="3">O10+Q10+R10</f>
        <v>412</v>
      </c>
      <c r="Z10" s="37">
        <f t="shared" ref="Z10" si="4">S10+T10+U10+P10</f>
        <v>554</v>
      </c>
      <c r="AA10" s="37">
        <f t="shared" ref="AA10" si="5">V10+W10</f>
        <v>26</v>
      </c>
      <c r="AB10" s="36">
        <f t="shared" ref="AB10" si="6">SUM(O10:W10)</f>
        <v>992</v>
      </c>
      <c r="AC10" s="38">
        <f t="shared" ref="AC10" si="7">SUM(AG10:AO10)</f>
        <v>652.5</v>
      </c>
      <c r="AG10" s="66">
        <f t="shared" ref="AG10:AG37" si="8">O10*O$8</f>
        <v>91</v>
      </c>
      <c r="AH10" s="66">
        <f t="shared" ref="AH10:AH37" si="9">P10*P$8</f>
        <v>271</v>
      </c>
      <c r="AI10" s="66">
        <f t="shared" ref="AI10:AI37" si="10">Q10*Q$8</f>
        <v>169</v>
      </c>
      <c r="AJ10" s="66">
        <f t="shared" ref="AJ10:AJ37" si="11">R10*R$8</f>
        <v>61</v>
      </c>
      <c r="AK10" s="66">
        <f t="shared" ref="AK10:AK37" si="12">S10*S$8</f>
        <v>7</v>
      </c>
      <c r="AL10" s="66">
        <f t="shared" ref="AL10:AL37" si="13">T10*T$8</f>
        <v>1.5</v>
      </c>
      <c r="AM10" s="66">
        <f t="shared" ref="AM10:AM37" si="14">U10*U$8</f>
        <v>8</v>
      </c>
      <c r="AN10" s="66">
        <f t="shared" ref="AN10:AN37" si="15">V10*V$8</f>
        <v>31.5</v>
      </c>
      <c r="AO10" s="66">
        <f t="shared" ref="AO10:AO37" si="16">W10*W$8</f>
        <v>12.5</v>
      </c>
      <c r="AQ10" s="49">
        <f t="shared" ref="AQ10:AY10" si="17">SUM(O10:O13)</f>
        <v>626</v>
      </c>
      <c r="AR10" s="49">
        <f t="shared" si="17"/>
        <v>2031</v>
      </c>
      <c r="AS10" s="49">
        <f t="shared" si="17"/>
        <v>561</v>
      </c>
      <c r="AT10" s="49">
        <f t="shared" si="17"/>
        <v>201</v>
      </c>
      <c r="AU10" s="49">
        <f t="shared" si="17"/>
        <v>16</v>
      </c>
      <c r="AV10" s="49">
        <f t="shared" si="17"/>
        <v>2</v>
      </c>
      <c r="AW10" s="49">
        <f t="shared" si="17"/>
        <v>18</v>
      </c>
      <c r="AX10" s="49">
        <f t="shared" si="17"/>
        <v>77</v>
      </c>
      <c r="AY10" s="49">
        <f t="shared" si="17"/>
        <v>14</v>
      </c>
    </row>
    <row r="11" spans="1:51">
      <c r="A11" s="1">
        <f t="shared" ref="A11:A65" si="18">B10</f>
        <v>0.31250000000000006</v>
      </c>
      <c r="B11" s="1">
        <f t="shared" si="1"/>
        <v>0.33333333333333337</v>
      </c>
      <c r="C11" s="17"/>
      <c r="D11" s="17"/>
      <c r="E11" s="18"/>
      <c r="F11" s="18"/>
      <c r="G11" s="18"/>
      <c r="H11" s="18"/>
      <c r="I11" s="18"/>
      <c r="J11" s="18"/>
      <c r="K11" s="18"/>
      <c r="L11" s="18"/>
      <c r="O11" s="24">
        <v>191</v>
      </c>
      <c r="P11" s="24">
        <v>680</v>
      </c>
      <c r="Q11" s="24">
        <v>167</v>
      </c>
      <c r="R11" s="25">
        <v>47</v>
      </c>
      <c r="S11" s="25">
        <v>4</v>
      </c>
      <c r="T11" s="25">
        <v>0</v>
      </c>
      <c r="U11" s="25">
        <v>1</v>
      </c>
      <c r="V11" s="25">
        <v>24</v>
      </c>
      <c r="W11" s="25">
        <v>5</v>
      </c>
      <c r="X11" s="25">
        <f t="shared" ref="S11:X31" si="19">L11-L10</f>
        <v>0</v>
      </c>
      <c r="Y11" s="26">
        <f t="shared" ref="Y11:Y65" si="20">O11+Q11+R11</f>
        <v>405</v>
      </c>
      <c r="Z11" s="27">
        <f t="shared" ref="Z11:Z65" si="21">S11+T11+U11+P11</f>
        <v>685</v>
      </c>
      <c r="AA11" s="27">
        <f t="shared" ref="AA11:AA65" si="22">V11+W11</f>
        <v>29</v>
      </c>
      <c r="AB11" s="26">
        <f t="shared" ref="AB11:AB65" si="23">SUM(O11:W11)</f>
        <v>1119</v>
      </c>
      <c r="AC11" s="28">
        <f t="shared" ref="AC11:AC37" si="24">SUM(AG11:AO11)</f>
        <v>704</v>
      </c>
      <c r="AG11" s="66">
        <f t="shared" si="8"/>
        <v>95.5</v>
      </c>
      <c r="AH11" s="66">
        <f t="shared" si="9"/>
        <v>340</v>
      </c>
      <c r="AI11" s="66">
        <f t="shared" si="10"/>
        <v>167</v>
      </c>
      <c r="AJ11" s="66">
        <f t="shared" si="11"/>
        <v>47</v>
      </c>
      <c r="AK11" s="66">
        <f t="shared" si="12"/>
        <v>4</v>
      </c>
      <c r="AL11" s="66">
        <f t="shared" si="13"/>
        <v>0</v>
      </c>
      <c r="AM11" s="66">
        <f t="shared" si="14"/>
        <v>2</v>
      </c>
      <c r="AN11" s="66">
        <f t="shared" si="15"/>
        <v>36</v>
      </c>
      <c r="AO11" s="66">
        <f t="shared" si="16"/>
        <v>12.5</v>
      </c>
      <c r="AU11" s="48"/>
      <c r="AV11" s="48"/>
      <c r="AW11" s="48"/>
      <c r="AX11" s="48"/>
      <c r="AY11" s="48"/>
    </row>
    <row r="12" spans="1:51">
      <c r="A12" s="1">
        <f t="shared" si="18"/>
        <v>0.33333333333333337</v>
      </c>
      <c r="B12" s="1">
        <f t="shared" si="1"/>
        <v>0.35416666666666669</v>
      </c>
      <c r="C12" s="17"/>
      <c r="D12" s="17"/>
      <c r="E12" s="18"/>
      <c r="F12" s="18"/>
      <c r="G12" s="18"/>
      <c r="H12" s="18"/>
      <c r="I12" s="18"/>
      <c r="J12" s="18"/>
      <c r="K12" s="18"/>
      <c r="L12" s="18"/>
      <c r="O12" s="24">
        <v>128</v>
      </c>
      <c r="P12" s="24">
        <v>462</v>
      </c>
      <c r="Q12" s="24">
        <v>126</v>
      </c>
      <c r="R12" s="25">
        <v>50</v>
      </c>
      <c r="S12" s="25">
        <v>1</v>
      </c>
      <c r="T12" s="25">
        <v>0</v>
      </c>
      <c r="U12" s="25">
        <v>5</v>
      </c>
      <c r="V12" s="25">
        <v>19</v>
      </c>
      <c r="W12" s="25">
        <v>1</v>
      </c>
      <c r="X12" s="25">
        <f t="shared" si="19"/>
        <v>0</v>
      </c>
      <c r="Y12" s="26">
        <f t="shared" si="20"/>
        <v>304</v>
      </c>
      <c r="Z12" s="27">
        <f t="shared" si="21"/>
        <v>468</v>
      </c>
      <c r="AA12" s="27">
        <f t="shared" si="22"/>
        <v>20</v>
      </c>
      <c r="AB12" s="26">
        <f t="shared" si="23"/>
        <v>792</v>
      </c>
      <c r="AC12" s="28">
        <f t="shared" si="24"/>
        <v>513</v>
      </c>
      <c r="AG12" s="66">
        <f t="shared" si="8"/>
        <v>64</v>
      </c>
      <c r="AH12" s="66">
        <f t="shared" si="9"/>
        <v>231</v>
      </c>
      <c r="AI12" s="66">
        <f t="shared" si="10"/>
        <v>126</v>
      </c>
      <c r="AJ12" s="66">
        <f t="shared" si="11"/>
        <v>50</v>
      </c>
      <c r="AK12" s="66">
        <f t="shared" si="12"/>
        <v>1</v>
      </c>
      <c r="AL12" s="66">
        <f t="shared" si="13"/>
        <v>0</v>
      </c>
      <c r="AM12" s="66">
        <f t="shared" si="14"/>
        <v>10</v>
      </c>
      <c r="AN12" s="66">
        <f t="shared" si="15"/>
        <v>28.5</v>
      </c>
      <c r="AO12" s="66">
        <f t="shared" si="16"/>
        <v>2.5</v>
      </c>
      <c r="AU12" s="48"/>
      <c r="AV12" s="48"/>
      <c r="AW12" s="48"/>
      <c r="AX12" s="48"/>
      <c r="AY12" s="48"/>
    </row>
    <row r="13" spans="1:51">
      <c r="A13" s="2">
        <f t="shared" si="18"/>
        <v>0.35416666666666669</v>
      </c>
      <c r="B13" s="2">
        <f t="shared" si="1"/>
        <v>0.375</v>
      </c>
      <c r="C13" s="19"/>
      <c r="D13" s="19"/>
      <c r="E13" s="20"/>
      <c r="F13" s="20"/>
      <c r="G13" s="20"/>
      <c r="H13" s="20"/>
      <c r="I13" s="20"/>
      <c r="J13" s="20"/>
      <c r="K13" s="20"/>
      <c r="L13" s="20"/>
      <c r="O13" s="29">
        <v>125</v>
      </c>
      <c r="P13" s="29">
        <v>347</v>
      </c>
      <c r="Q13" s="29">
        <v>99</v>
      </c>
      <c r="R13" s="30">
        <v>43</v>
      </c>
      <c r="S13" s="30">
        <v>4</v>
      </c>
      <c r="T13" s="30">
        <v>1</v>
      </c>
      <c r="U13" s="30">
        <v>8</v>
      </c>
      <c r="V13" s="30">
        <v>13</v>
      </c>
      <c r="W13" s="30">
        <v>3</v>
      </c>
      <c r="X13" s="30">
        <f t="shared" si="19"/>
        <v>0</v>
      </c>
      <c r="Y13" s="31">
        <f t="shared" si="20"/>
        <v>267</v>
      </c>
      <c r="Z13" s="32">
        <f t="shared" si="21"/>
        <v>360</v>
      </c>
      <c r="AA13" s="32">
        <f t="shared" si="22"/>
        <v>16</v>
      </c>
      <c r="AB13" s="31">
        <f t="shared" si="23"/>
        <v>643</v>
      </c>
      <c r="AC13" s="33">
        <f t="shared" si="24"/>
        <v>426.5</v>
      </c>
      <c r="AG13" s="66">
        <f t="shared" si="8"/>
        <v>62.5</v>
      </c>
      <c r="AH13" s="66">
        <f t="shared" si="9"/>
        <v>173.5</v>
      </c>
      <c r="AI13" s="66">
        <f t="shared" si="10"/>
        <v>99</v>
      </c>
      <c r="AJ13" s="66">
        <f t="shared" si="11"/>
        <v>43</v>
      </c>
      <c r="AK13" s="66">
        <f t="shared" si="12"/>
        <v>4</v>
      </c>
      <c r="AL13" s="66">
        <f t="shared" si="13"/>
        <v>1.5</v>
      </c>
      <c r="AM13" s="66">
        <f t="shared" si="14"/>
        <v>16</v>
      </c>
      <c r="AN13" s="66">
        <f t="shared" si="15"/>
        <v>19.5</v>
      </c>
      <c r="AO13" s="66">
        <f t="shared" si="16"/>
        <v>7.5</v>
      </c>
      <c r="AU13" s="48"/>
      <c r="AV13" s="48"/>
      <c r="AW13" s="48"/>
      <c r="AX13" s="48"/>
      <c r="AY13" s="48"/>
    </row>
    <row r="14" spans="1:51">
      <c r="A14" s="3">
        <f t="shared" si="18"/>
        <v>0.375</v>
      </c>
      <c r="B14" s="3">
        <f t="shared" si="1"/>
        <v>0.39583333333333331</v>
      </c>
      <c r="C14" s="21"/>
      <c r="D14" s="21"/>
      <c r="E14" s="22"/>
      <c r="F14" s="22"/>
      <c r="G14" s="22"/>
      <c r="H14" s="22"/>
      <c r="I14" s="22"/>
      <c r="J14" s="22"/>
      <c r="K14" s="22"/>
      <c r="L14" s="22"/>
      <c r="O14" s="34">
        <v>137</v>
      </c>
      <c r="P14" s="34">
        <v>278</v>
      </c>
      <c r="Q14" s="34">
        <v>109</v>
      </c>
      <c r="R14" s="35">
        <v>41</v>
      </c>
      <c r="S14" s="35">
        <v>3</v>
      </c>
      <c r="T14" s="35">
        <v>0</v>
      </c>
      <c r="U14" s="35">
        <v>16</v>
      </c>
      <c r="V14" s="35">
        <v>17</v>
      </c>
      <c r="W14" s="35">
        <v>5</v>
      </c>
      <c r="X14" s="35">
        <f t="shared" si="19"/>
        <v>0</v>
      </c>
      <c r="Y14" s="36">
        <f t="shared" si="20"/>
        <v>287</v>
      </c>
      <c r="Z14" s="37">
        <f t="shared" si="21"/>
        <v>297</v>
      </c>
      <c r="AA14" s="37">
        <f t="shared" si="22"/>
        <v>22</v>
      </c>
      <c r="AB14" s="36">
        <f t="shared" si="23"/>
        <v>606</v>
      </c>
      <c r="AC14" s="38">
        <f t="shared" si="24"/>
        <v>430.5</v>
      </c>
      <c r="AG14" s="66">
        <f t="shared" si="8"/>
        <v>68.5</v>
      </c>
      <c r="AH14" s="66">
        <f t="shared" si="9"/>
        <v>139</v>
      </c>
      <c r="AI14" s="66">
        <f t="shared" si="10"/>
        <v>109</v>
      </c>
      <c r="AJ14" s="66">
        <f t="shared" si="11"/>
        <v>41</v>
      </c>
      <c r="AK14" s="66">
        <f t="shared" si="12"/>
        <v>3</v>
      </c>
      <c r="AL14" s="66">
        <f t="shared" si="13"/>
        <v>0</v>
      </c>
      <c r="AM14" s="66">
        <f t="shared" si="14"/>
        <v>32</v>
      </c>
      <c r="AN14" s="66">
        <f t="shared" si="15"/>
        <v>25.5</v>
      </c>
      <c r="AO14" s="66">
        <f t="shared" si="16"/>
        <v>12.5</v>
      </c>
      <c r="AQ14" s="49">
        <f t="shared" ref="AQ14:AY14" si="25">SUM(O14:O17)</f>
        <v>489</v>
      </c>
      <c r="AR14" s="49">
        <f t="shared" si="25"/>
        <v>1007</v>
      </c>
      <c r="AS14" s="49">
        <f t="shared" si="25"/>
        <v>397</v>
      </c>
      <c r="AT14" s="49">
        <f t="shared" si="25"/>
        <v>139</v>
      </c>
      <c r="AU14" s="49">
        <f t="shared" si="25"/>
        <v>11</v>
      </c>
      <c r="AV14" s="49">
        <f t="shared" si="25"/>
        <v>2</v>
      </c>
      <c r="AW14" s="49">
        <f t="shared" si="25"/>
        <v>50</v>
      </c>
      <c r="AX14" s="49">
        <f t="shared" si="25"/>
        <v>63</v>
      </c>
      <c r="AY14" s="49">
        <f t="shared" si="25"/>
        <v>27</v>
      </c>
    </row>
    <row r="15" spans="1:51">
      <c r="A15" s="1">
        <f t="shared" si="18"/>
        <v>0.39583333333333331</v>
      </c>
      <c r="B15" s="1">
        <f t="shared" si="1"/>
        <v>0.41666666666666663</v>
      </c>
      <c r="C15" s="17"/>
      <c r="D15" s="17"/>
      <c r="E15" s="18"/>
      <c r="F15" s="18"/>
      <c r="G15" s="18"/>
      <c r="H15" s="18"/>
      <c r="I15" s="18"/>
      <c r="J15" s="18"/>
      <c r="K15" s="18"/>
      <c r="L15" s="18"/>
      <c r="O15" s="24">
        <v>110</v>
      </c>
      <c r="P15" s="24">
        <v>260</v>
      </c>
      <c r="Q15" s="24">
        <v>106</v>
      </c>
      <c r="R15" s="25">
        <v>34</v>
      </c>
      <c r="S15" s="25">
        <v>2</v>
      </c>
      <c r="T15" s="25">
        <v>0</v>
      </c>
      <c r="U15" s="25">
        <v>7</v>
      </c>
      <c r="V15" s="25">
        <v>18</v>
      </c>
      <c r="W15" s="25">
        <v>8</v>
      </c>
      <c r="X15" s="25">
        <f t="shared" si="19"/>
        <v>0</v>
      </c>
      <c r="Y15" s="26">
        <f t="shared" si="20"/>
        <v>250</v>
      </c>
      <c r="Z15" s="27">
        <f t="shared" si="21"/>
        <v>269</v>
      </c>
      <c r="AA15" s="27">
        <f t="shared" si="22"/>
        <v>26</v>
      </c>
      <c r="AB15" s="26">
        <f t="shared" si="23"/>
        <v>545</v>
      </c>
      <c r="AC15" s="28">
        <f t="shared" si="24"/>
        <v>388</v>
      </c>
      <c r="AG15" s="66">
        <f t="shared" si="8"/>
        <v>55</v>
      </c>
      <c r="AH15" s="66">
        <f t="shared" si="9"/>
        <v>130</v>
      </c>
      <c r="AI15" s="66">
        <f t="shared" si="10"/>
        <v>106</v>
      </c>
      <c r="AJ15" s="66">
        <f t="shared" si="11"/>
        <v>34</v>
      </c>
      <c r="AK15" s="66">
        <f t="shared" si="12"/>
        <v>2</v>
      </c>
      <c r="AL15" s="66">
        <f t="shared" si="13"/>
        <v>0</v>
      </c>
      <c r="AM15" s="66">
        <f t="shared" si="14"/>
        <v>14</v>
      </c>
      <c r="AN15" s="66">
        <f t="shared" si="15"/>
        <v>27</v>
      </c>
      <c r="AO15" s="66">
        <f t="shared" si="16"/>
        <v>20</v>
      </c>
      <c r="AU15" s="48"/>
      <c r="AV15" s="48"/>
      <c r="AW15" s="48"/>
      <c r="AX15" s="48"/>
      <c r="AY15" s="48"/>
    </row>
    <row r="16" spans="1:51">
      <c r="A16" s="1">
        <f t="shared" si="18"/>
        <v>0.41666666666666663</v>
      </c>
      <c r="B16" s="1">
        <f t="shared" si="1"/>
        <v>0.43749999999999994</v>
      </c>
      <c r="C16" s="17"/>
      <c r="D16" s="17"/>
      <c r="E16" s="18"/>
      <c r="F16" s="18"/>
      <c r="G16" s="18"/>
      <c r="H16" s="18"/>
      <c r="I16" s="18"/>
      <c r="J16" s="18"/>
      <c r="K16" s="18"/>
      <c r="L16" s="18"/>
      <c r="O16" s="24">
        <v>126</v>
      </c>
      <c r="P16" s="24">
        <v>243</v>
      </c>
      <c r="Q16" s="24">
        <v>97</v>
      </c>
      <c r="R16" s="25">
        <v>30</v>
      </c>
      <c r="S16" s="25">
        <v>4</v>
      </c>
      <c r="T16" s="25">
        <v>1</v>
      </c>
      <c r="U16" s="25">
        <v>11</v>
      </c>
      <c r="V16" s="25">
        <v>8</v>
      </c>
      <c r="W16" s="25">
        <v>5</v>
      </c>
      <c r="X16" s="25">
        <f t="shared" si="19"/>
        <v>0</v>
      </c>
      <c r="Y16" s="26">
        <f t="shared" si="20"/>
        <v>253</v>
      </c>
      <c r="Z16" s="27">
        <f t="shared" si="21"/>
        <v>259</v>
      </c>
      <c r="AA16" s="27">
        <f t="shared" si="22"/>
        <v>13</v>
      </c>
      <c r="AB16" s="26">
        <f t="shared" si="23"/>
        <v>525</v>
      </c>
      <c r="AC16" s="28">
        <f t="shared" si="24"/>
        <v>363.5</v>
      </c>
      <c r="AG16" s="66">
        <f t="shared" si="8"/>
        <v>63</v>
      </c>
      <c r="AH16" s="66">
        <f t="shared" si="9"/>
        <v>121.5</v>
      </c>
      <c r="AI16" s="66">
        <f t="shared" si="10"/>
        <v>97</v>
      </c>
      <c r="AJ16" s="66">
        <f t="shared" si="11"/>
        <v>30</v>
      </c>
      <c r="AK16" s="66">
        <f t="shared" si="12"/>
        <v>4</v>
      </c>
      <c r="AL16" s="66">
        <f t="shared" si="13"/>
        <v>1.5</v>
      </c>
      <c r="AM16" s="66">
        <f t="shared" si="14"/>
        <v>22</v>
      </c>
      <c r="AN16" s="66">
        <f t="shared" si="15"/>
        <v>12</v>
      </c>
      <c r="AO16" s="66">
        <f t="shared" si="16"/>
        <v>12.5</v>
      </c>
      <c r="AU16" s="48"/>
      <c r="AV16" s="48"/>
      <c r="AW16" s="48"/>
      <c r="AX16" s="48"/>
      <c r="AY16" s="48"/>
    </row>
    <row r="17" spans="1:51">
      <c r="A17" s="2">
        <f t="shared" si="18"/>
        <v>0.43749999999999994</v>
      </c>
      <c r="B17" s="2">
        <f t="shared" si="1"/>
        <v>0.45833333333333326</v>
      </c>
      <c r="C17" s="19"/>
      <c r="D17" s="19"/>
      <c r="E17" s="20"/>
      <c r="F17" s="20"/>
      <c r="G17" s="20"/>
      <c r="H17" s="20"/>
      <c r="I17" s="20"/>
      <c r="J17" s="20"/>
      <c r="K17" s="20"/>
      <c r="L17" s="20"/>
      <c r="O17" s="29">
        <v>116</v>
      </c>
      <c r="P17" s="29">
        <v>226</v>
      </c>
      <c r="Q17" s="29">
        <v>85</v>
      </c>
      <c r="R17" s="30">
        <v>34</v>
      </c>
      <c r="S17" s="30">
        <v>2</v>
      </c>
      <c r="T17" s="30">
        <v>1</v>
      </c>
      <c r="U17" s="30">
        <v>16</v>
      </c>
      <c r="V17" s="30">
        <v>20</v>
      </c>
      <c r="W17" s="30">
        <v>9</v>
      </c>
      <c r="X17" s="30">
        <f t="shared" si="19"/>
        <v>0</v>
      </c>
      <c r="Y17" s="31">
        <f t="shared" si="20"/>
        <v>235</v>
      </c>
      <c r="Z17" s="32">
        <f t="shared" si="21"/>
        <v>245</v>
      </c>
      <c r="AA17" s="32">
        <f t="shared" si="22"/>
        <v>29</v>
      </c>
      <c r="AB17" s="31">
        <f t="shared" si="23"/>
        <v>509</v>
      </c>
      <c r="AC17" s="33">
        <f t="shared" si="24"/>
        <v>378</v>
      </c>
      <c r="AG17" s="66">
        <f t="shared" si="8"/>
        <v>58</v>
      </c>
      <c r="AH17" s="66">
        <f t="shared" si="9"/>
        <v>113</v>
      </c>
      <c r="AI17" s="66">
        <f t="shared" si="10"/>
        <v>85</v>
      </c>
      <c r="AJ17" s="66">
        <f t="shared" si="11"/>
        <v>34</v>
      </c>
      <c r="AK17" s="66">
        <f t="shared" si="12"/>
        <v>2</v>
      </c>
      <c r="AL17" s="66">
        <f t="shared" si="13"/>
        <v>1.5</v>
      </c>
      <c r="AM17" s="66">
        <f t="shared" si="14"/>
        <v>32</v>
      </c>
      <c r="AN17" s="66">
        <f t="shared" si="15"/>
        <v>30</v>
      </c>
      <c r="AO17" s="66">
        <f t="shared" si="16"/>
        <v>22.5</v>
      </c>
      <c r="AU17" s="48"/>
      <c r="AV17" s="48"/>
      <c r="AW17" s="48"/>
      <c r="AX17" s="48"/>
      <c r="AY17" s="48"/>
    </row>
    <row r="18" spans="1:51">
      <c r="A18" s="3">
        <f t="shared" si="18"/>
        <v>0.45833333333333326</v>
      </c>
      <c r="B18" s="3">
        <f t="shared" si="1"/>
        <v>0.47916666666666657</v>
      </c>
      <c r="C18" s="21"/>
      <c r="D18" s="21"/>
      <c r="E18" s="22"/>
      <c r="F18" s="22"/>
      <c r="G18" s="22"/>
      <c r="H18" s="22"/>
      <c r="I18" s="22"/>
      <c r="J18" s="22"/>
      <c r="K18" s="22"/>
      <c r="L18" s="22"/>
      <c r="O18" s="34">
        <v>140</v>
      </c>
      <c r="P18" s="34">
        <v>196</v>
      </c>
      <c r="Q18" s="34">
        <v>123</v>
      </c>
      <c r="R18" s="35">
        <v>38</v>
      </c>
      <c r="S18" s="35">
        <v>3</v>
      </c>
      <c r="T18" s="35">
        <v>1</v>
      </c>
      <c r="U18" s="35">
        <v>11</v>
      </c>
      <c r="V18" s="35">
        <v>30</v>
      </c>
      <c r="W18" s="35">
        <v>6</v>
      </c>
      <c r="X18" s="35">
        <f t="shared" si="19"/>
        <v>0</v>
      </c>
      <c r="Y18" s="36">
        <f t="shared" si="20"/>
        <v>301</v>
      </c>
      <c r="Z18" s="37">
        <f t="shared" si="21"/>
        <v>211</v>
      </c>
      <c r="AA18" s="37">
        <f t="shared" si="22"/>
        <v>36</v>
      </c>
      <c r="AB18" s="36">
        <f t="shared" si="23"/>
        <v>548</v>
      </c>
      <c r="AC18" s="38">
        <f t="shared" si="24"/>
        <v>415.5</v>
      </c>
      <c r="AG18" s="66">
        <f t="shared" si="8"/>
        <v>70</v>
      </c>
      <c r="AH18" s="66">
        <f t="shared" si="9"/>
        <v>98</v>
      </c>
      <c r="AI18" s="66">
        <f t="shared" si="10"/>
        <v>123</v>
      </c>
      <c r="AJ18" s="66">
        <f t="shared" si="11"/>
        <v>38</v>
      </c>
      <c r="AK18" s="66">
        <f t="shared" si="12"/>
        <v>3</v>
      </c>
      <c r="AL18" s="66">
        <f t="shared" si="13"/>
        <v>1.5</v>
      </c>
      <c r="AM18" s="66">
        <f t="shared" si="14"/>
        <v>22</v>
      </c>
      <c r="AN18" s="66">
        <f t="shared" si="15"/>
        <v>45</v>
      </c>
      <c r="AO18" s="66">
        <f t="shared" si="16"/>
        <v>15</v>
      </c>
      <c r="AQ18" s="49">
        <f t="shared" ref="AQ18:AY18" si="26">SUM(O18:O21)</f>
        <v>521</v>
      </c>
      <c r="AR18" s="49">
        <f t="shared" si="26"/>
        <v>877</v>
      </c>
      <c r="AS18" s="49">
        <f t="shared" si="26"/>
        <v>520</v>
      </c>
      <c r="AT18" s="49">
        <f t="shared" si="26"/>
        <v>141</v>
      </c>
      <c r="AU18" s="49">
        <f t="shared" si="26"/>
        <v>13</v>
      </c>
      <c r="AV18" s="49">
        <f t="shared" si="26"/>
        <v>5</v>
      </c>
      <c r="AW18" s="49">
        <f t="shared" si="26"/>
        <v>30</v>
      </c>
      <c r="AX18" s="49">
        <f t="shared" si="26"/>
        <v>185</v>
      </c>
      <c r="AY18" s="49">
        <f t="shared" si="26"/>
        <v>21</v>
      </c>
    </row>
    <row r="19" spans="1:51">
      <c r="A19" s="1">
        <f t="shared" si="18"/>
        <v>0.47916666666666657</v>
      </c>
      <c r="B19" s="1">
        <f t="shared" si="1"/>
        <v>0.49999999999999989</v>
      </c>
      <c r="C19" s="17"/>
      <c r="D19" s="17"/>
      <c r="E19" s="18"/>
      <c r="F19" s="18"/>
      <c r="G19" s="18"/>
      <c r="H19" s="18"/>
      <c r="I19" s="18"/>
      <c r="J19" s="18"/>
      <c r="K19" s="18"/>
      <c r="L19" s="18"/>
      <c r="O19" s="24">
        <v>142</v>
      </c>
      <c r="P19" s="24">
        <v>187</v>
      </c>
      <c r="Q19" s="24">
        <v>85</v>
      </c>
      <c r="R19" s="25">
        <v>30</v>
      </c>
      <c r="S19" s="25">
        <v>2</v>
      </c>
      <c r="T19" s="25">
        <v>1</v>
      </c>
      <c r="U19" s="25">
        <v>9</v>
      </c>
      <c r="V19" s="25">
        <v>22</v>
      </c>
      <c r="W19" s="25">
        <v>6</v>
      </c>
      <c r="X19" s="25">
        <f t="shared" si="19"/>
        <v>0</v>
      </c>
      <c r="Y19" s="26">
        <f t="shared" si="20"/>
        <v>257</v>
      </c>
      <c r="Z19" s="27">
        <f t="shared" si="21"/>
        <v>199</v>
      </c>
      <c r="AA19" s="27">
        <f t="shared" si="22"/>
        <v>28</v>
      </c>
      <c r="AB19" s="26">
        <f t="shared" si="23"/>
        <v>484</v>
      </c>
      <c r="AC19" s="28">
        <f t="shared" si="24"/>
        <v>349</v>
      </c>
      <c r="AG19" s="66">
        <f t="shared" si="8"/>
        <v>71</v>
      </c>
      <c r="AH19" s="66">
        <f t="shared" si="9"/>
        <v>93.5</v>
      </c>
      <c r="AI19" s="66">
        <f t="shared" si="10"/>
        <v>85</v>
      </c>
      <c r="AJ19" s="66">
        <f t="shared" si="11"/>
        <v>30</v>
      </c>
      <c r="AK19" s="66">
        <f t="shared" si="12"/>
        <v>2</v>
      </c>
      <c r="AL19" s="66">
        <f t="shared" si="13"/>
        <v>1.5</v>
      </c>
      <c r="AM19" s="66">
        <f t="shared" si="14"/>
        <v>18</v>
      </c>
      <c r="AN19" s="66">
        <f t="shared" si="15"/>
        <v>33</v>
      </c>
      <c r="AO19" s="66">
        <f t="shared" si="16"/>
        <v>15</v>
      </c>
      <c r="AU19" s="48"/>
      <c r="AV19" s="48"/>
      <c r="AW19" s="48"/>
      <c r="AX19" s="48"/>
      <c r="AY19" s="48"/>
    </row>
    <row r="20" spans="1:51">
      <c r="A20" s="1">
        <f t="shared" si="18"/>
        <v>0.49999999999999989</v>
      </c>
      <c r="B20" s="1">
        <f t="shared" si="1"/>
        <v>0.52083333333333326</v>
      </c>
      <c r="C20" s="17"/>
      <c r="D20" s="17"/>
      <c r="E20" s="18"/>
      <c r="F20" s="18"/>
      <c r="G20" s="18"/>
      <c r="H20" s="18"/>
      <c r="I20" s="18"/>
      <c r="J20" s="18"/>
      <c r="K20" s="18"/>
      <c r="L20" s="18"/>
      <c r="O20" s="24">
        <v>126</v>
      </c>
      <c r="P20" s="24">
        <v>259</v>
      </c>
      <c r="Q20" s="24">
        <v>210</v>
      </c>
      <c r="R20" s="25">
        <v>33</v>
      </c>
      <c r="S20" s="25">
        <v>5</v>
      </c>
      <c r="T20" s="25">
        <v>1</v>
      </c>
      <c r="U20" s="25">
        <v>5</v>
      </c>
      <c r="V20" s="25">
        <v>123</v>
      </c>
      <c r="W20" s="25">
        <v>5</v>
      </c>
      <c r="X20" s="25">
        <f t="shared" si="19"/>
        <v>0</v>
      </c>
      <c r="Y20" s="26">
        <f t="shared" si="20"/>
        <v>369</v>
      </c>
      <c r="Z20" s="27">
        <f t="shared" si="21"/>
        <v>270</v>
      </c>
      <c r="AA20" s="27">
        <f t="shared" si="22"/>
        <v>128</v>
      </c>
      <c r="AB20" s="26">
        <f t="shared" si="23"/>
        <v>767</v>
      </c>
      <c r="AC20" s="28">
        <f t="shared" si="24"/>
        <v>649</v>
      </c>
      <c r="AG20" s="66">
        <f t="shared" si="8"/>
        <v>63</v>
      </c>
      <c r="AH20" s="66">
        <f t="shared" si="9"/>
        <v>129.5</v>
      </c>
      <c r="AI20" s="66">
        <f t="shared" si="10"/>
        <v>210</v>
      </c>
      <c r="AJ20" s="66">
        <f t="shared" si="11"/>
        <v>33</v>
      </c>
      <c r="AK20" s="66">
        <f t="shared" si="12"/>
        <v>5</v>
      </c>
      <c r="AL20" s="66">
        <f t="shared" si="13"/>
        <v>1.5</v>
      </c>
      <c r="AM20" s="66">
        <f t="shared" si="14"/>
        <v>10</v>
      </c>
      <c r="AN20" s="66">
        <f t="shared" si="15"/>
        <v>184.5</v>
      </c>
      <c r="AO20" s="66">
        <f t="shared" si="16"/>
        <v>12.5</v>
      </c>
      <c r="AU20" s="48"/>
      <c r="AV20" s="48"/>
      <c r="AW20" s="48"/>
      <c r="AX20" s="48"/>
      <c r="AY20" s="48"/>
    </row>
    <row r="21" spans="1:51">
      <c r="A21" s="2">
        <f t="shared" si="18"/>
        <v>0.52083333333333326</v>
      </c>
      <c r="B21" s="2">
        <f t="shared" si="1"/>
        <v>0.54166666666666663</v>
      </c>
      <c r="C21" s="19"/>
      <c r="D21" s="19"/>
      <c r="E21" s="20"/>
      <c r="F21" s="20"/>
      <c r="G21" s="20"/>
      <c r="H21" s="20"/>
      <c r="I21" s="20"/>
      <c r="J21" s="20"/>
      <c r="K21" s="20"/>
      <c r="L21" s="20"/>
      <c r="O21" s="29">
        <v>113</v>
      </c>
      <c r="P21" s="29">
        <v>235</v>
      </c>
      <c r="Q21" s="29">
        <v>102</v>
      </c>
      <c r="R21" s="30">
        <v>40</v>
      </c>
      <c r="S21" s="30">
        <v>3</v>
      </c>
      <c r="T21" s="30">
        <v>2</v>
      </c>
      <c r="U21" s="30">
        <v>5</v>
      </c>
      <c r="V21" s="30">
        <v>10</v>
      </c>
      <c r="W21" s="30">
        <v>4</v>
      </c>
      <c r="X21" s="30">
        <f t="shared" si="19"/>
        <v>0</v>
      </c>
      <c r="Y21" s="31">
        <f t="shared" si="20"/>
        <v>255</v>
      </c>
      <c r="Z21" s="32">
        <f t="shared" si="21"/>
        <v>245</v>
      </c>
      <c r="AA21" s="32">
        <f t="shared" si="22"/>
        <v>14</v>
      </c>
      <c r="AB21" s="31">
        <f t="shared" si="23"/>
        <v>514</v>
      </c>
      <c r="AC21" s="33">
        <f t="shared" si="24"/>
        <v>357</v>
      </c>
      <c r="AG21" s="66">
        <f t="shared" si="8"/>
        <v>56.5</v>
      </c>
      <c r="AH21" s="66">
        <f t="shared" si="9"/>
        <v>117.5</v>
      </c>
      <c r="AI21" s="66">
        <f t="shared" si="10"/>
        <v>102</v>
      </c>
      <c r="AJ21" s="66">
        <f t="shared" si="11"/>
        <v>40</v>
      </c>
      <c r="AK21" s="66">
        <f t="shared" si="12"/>
        <v>3</v>
      </c>
      <c r="AL21" s="66">
        <f t="shared" si="13"/>
        <v>3</v>
      </c>
      <c r="AM21" s="66">
        <f t="shared" si="14"/>
        <v>10</v>
      </c>
      <c r="AN21" s="66">
        <f t="shared" si="15"/>
        <v>15</v>
      </c>
      <c r="AO21" s="66">
        <f t="shared" si="16"/>
        <v>10</v>
      </c>
      <c r="AU21" s="48"/>
      <c r="AV21" s="48"/>
      <c r="AW21" s="48"/>
      <c r="AX21" s="48"/>
      <c r="AY21" s="48"/>
    </row>
    <row r="22" spans="1:51">
      <c r="A22" s="3">
        <f t="shared" si="18"/>
        <v>0.54166666666666663</v>
      </c>
      <c r="B22" s="3">
        <f t="shared" si="1"/>
        <v>0.5625</v>
      </c>
      <c r="C22" s="21"/>
      <c r="D22" s="21"/>
      <c r="E22" s="22"/>
      <c r="F22" s="22"/>
      <c r="G22" s="22"/>
      <c r="H22" s="22"/>
      <c r="I22" s="22"/>
      <c r="J22" s="22"/>
      <c r="K22" s="22"/>
      <c r="L22" s="22"/>
      <c r="O22" s="34">
        <v>140</v>
      </c>
      <c r="P22" s="34">
        <v>279</v>
      </c>
      <c r="Q22" s="34">
        <v>100</v>
      </c>
      <c r="R22" s="35">
        <v>33</v>
      </c>
      <c r="S22" s="35">
        <v>7</v>
      </c>
      <c r="T22" s="35">
        <v>0</v>
      </c>
      <c r="U22" s="35">
        <v>17</v>
      </c>
      <c r="V22" s="35">
        <v>15</v>
      </c>
      <c r="W22" s="35">
        <v>5</v>
      </c>
      <c r="X22" s="35">
        <f t="shared" si="19"/>
        <v>0</v>
      </c>
      <c r="Y22" s="36">
        <f t="shared" si="20"/>
        <v>273</v>
      </c>
      <c r="Z22" s="37">
        <f t="shared" si="21"/>
        <v>303</v>
      </c>
      <c r="AA22" s="37">
        <f t="shared" si="22"/>
        <v>20</v>
      </c>
      <c r="AB22" s="36">
        <f t="shared" si="23"/>
        <v>596</v>
      </c>
      <c r="AC22" s="38">
        <f t="shared" si="24"/>
        <v>418.5</v>
      </c>
      <c r="AG22" s="66">
        <f t="shared" si="8"/>
        <v>70</v>
      </c>
      <c r="AH22" s="66">
        <f t="shared" si="9"/>
        <v>139.5</v>
      </c>
      <c r="AI22" s="66">
        <f t="shared" si="10"/>
        <v>100</v>
      </c>
      <c r="AJ22" s="66">
        <f t="shared" si="11"/>
        <v>33</v>
      </c>
      <c r="AK22" s="66">
        <f t="shared" si="12"/>
        <v>7</v>
      </c>
      <c r="AL22" s="66">
        <f t="shared" si="13"/>
        <v>0</v>
      </c>
      <c r="AM22" s="66">
        <f t="shared" si="14"/>
        <v>34</v>
      </c>
      <c r="AN22" s="66">
        <f t="shared" si="15"/>
        <v>22.5</v>
      </c>
      <c r="AO22" s="66">
        <f t="shared" si="16"/>
        <v>12.5</v>
      </c>
      <c r="AQ22" s="49">
        <f t="shared" ref="AQ22:AY22" si="27">SUM(O22:O25)</f>
        <v>483</v>
      </c>
      <c r="AR22" s="49">
        <f t="shared" si="27"/>
        <v>1066</v>
      </c>
      <c r="AS22" s="49">
        <f t="shared" si="27"/>
        <v>404</v>
      </c>
      <c r="AT22" s="49">
        <f t="shared" si="27"/>
        <v>127</v>
      </c>
      <c r="AU22" s="49">
        <f t="shared" si="27"/>
        <v>11</v>
      </c>
      <c r="AV22" s="49">
        <f t="shared" si="27"/>
        <v>4</v>
      </c>
      <c r="AW22" s="49">
        <f t="shared" si="27"/>
        <v>69</v>
      </c>
      <c r="AX22" s="49">
        <f t="shared" si="27"/>
        <v>55</v>
      </c>
      <c r="AY22" s="49">
        <f t="shared" si="27"/>
        <v>14</v>
      </c>
    </row>
    <row r="23" spans="1:51">
      <c r="A23" s="1">
        <f t="shared" si="18"/>
        <v>0.5625</v>
      </c>
      <c r="B23" s="1">
        <f t="shared" si="1"/>
        <v>0.58333333333333337</v>
      </c>
      <c r="C23" s="17"/>
      <c r="D23" s="17"/>
      <c r="E23" s="18"/>
      <c r="F23" s="18"/>
      <c r="G23" s="18"/>
      <c r="H23" s="18"/>
      <c r="I23" s="18"/>
      <c r="J23" s="18"/>
      <c r="K23" s="18"/>
      <c r="L23" s="18"/>
      <c r="O23" s="24">
        <v>137</v>
      </c>
      <c r="P23" s="24">
        <v>243</v>
      </c>
      <c r="Q23" s="24">
        <v>107</v>
      </c>
      <c r="R23" s="25">
        <v>30</v>
      </c>
      <c r="S23" s="25">
        <v>4</v>
      </c>
      <c r="T23" s="25">
        <v>0</v>
      </c>
      <c r="U23" s="25">
        <v>17</v>
      </c>
      <c r="V23" s="25">
        <v>8</v>
      </c>
      <c r="W23" s="25">
        <v>3</v>
      </c>
      <c r="X23" s="25">
        <f t="shared" si="19"/>
        <v>0</v>
      </c>
      <c r="Y23" s="26">
        <f t="shared" si="20"/>
        <v>274</v>
      </c>
      <c r="Z23" s="27">
        <f t="shared" si="21"/>
        <v>264</v>
      </c>
      <c r="AA23" s="27">
        <f t="shared" si="22"/>
        <v>11</v>
      </c>
      <c r="AB23" s="26">
        <f t="shared" si="23"/>
        <v>549</v>
      </c>
      <c r="AC23" s="28">
        <f t="shared" si="24"/>
        <v>384.5</v>
      </c>
      <c r="AG23" s="66">
        <f t="shared" si="8"/>
        <v>68.5</v>
      </c>
      <c r="AH23" s="66">
        <f t="shared" si="9"/>
        <v>121.5</v>
      </c>
      <c r="AI23" s="66">
        <f t="shared" si="10"/>
        <v>107</v>
      </c>
      <c r="AJ23" s="66">
        <f t="shared" si="11"/>
        <v>30</v>
      </c>
      <c r="AK23" s="66">
        <f t="shared" si="12"/>
        <v>4</v>
      </c>
      <c r="AL23" s="66">
        <f t="shared" si="13"/>
        <v>0</v>
      </c>
      <c r="AM23" s="66">
        <f t="shared" si="14"/>
        <v>34</v>
      </c>
      <c r="AN23" s="66">
        <f t="shared" si="15"/>
        <v>12</v>
      </c>
      <c r="AO23" s="66">
        <f t="shared" si="16"/>
        <v>7.5</v>
      </c>
      <c r="AU23" s="48"/>
      <c r="AV23" s="48"/>
      <c r="AW23" s="48"/>
      <c r="AX23" s="48"/>
      <c r="AY23" s="48"/>
    </row>
    <row r="24" spans="1:51">
      <c r="A24" s="1">
        <f t="shared" si="18"/>
        <v>0.58333333333333337</v>
      </c>
      <c r="B24" s="1">
        <f t="shared" si="1"/>
        <v>0.60416666666666674</v>
      </c>
      <c r="C24" s="17"/>
      <c r="D24" s="17"/>
      <c r="E24" s="18"/>
      <c r="F24" s="18"/>
      <c r="G24" s="18"/>
      <c r="H24" s="18"/>
      <c r="I24" s="18"/>
      <c r="J24" s="18"/>
      <c r="K24" s="18"/>
      <c r="L24" s="18"/>
      <c r="O24" s="24">
        <v>99</v>
      </c>
      <c r="P24" s="24">
        <v>261</v>
      </c>
      <c r="Q24" s="24">
        <v>82</v>
      </c>
      <c r="R24" s="25">
        <v>30</v>
      </c>
      <c r="S24" s="25">
        <f t="shared" si="19"/>
        <v>0</v>
      </c>
      <c r="T24" s="25">
        <v>3</v>
      </c>
      <c r="U24" s="25">
        <v>14</v>
      </c>
      <c r="V24" s="25">
        <v>15</v>
      </c>
      <c r="W24" s="25">
        <v>3</v>
      </c>
      <c r="X24" s="25">
        <f t="shared" si="19"/>
        <v>0</v>
      </c>
      <c r="Y24" s="26">
        <f t="shared" si="20"/>
        <v>211</v>
      </c>
      <c r="Z24" s="27">
        <f t="shared" si="21"/>
        <v>278</v>
      </c>
      <c r="AA24" s="27">
        <f t="shared" si="22"/>
        <v>18</v>
      </c>
      <c r="AB24" s="26">
        <f t="shared" si="23"/>
        <v>507</v>
      </c>
      <c r="AC24" s="28">
        <f t="shared" si="24"/>
        <v>354.5</v>
      </c>
      <c r="AG24" s="66">
        <f t="shared" si="8"/>
        <v>49.5</v>
      </c>
      <c r="AH24" s="66">
        <f t="shared" si="9"/>
        <v>130.5</v>
      </c>
      <c r="AI24" s="66">
        <f t="shared" si="10"/>
        <v>82</v>
      </c>
      <c r="AJ24" s="66">
        <f t="shared" si="11"/>
        <v>30</v>
      </c>
      <c r="AK24" s="66">
        <f t="shared" si="12"/>
        <v>0</v>
      </c>
      <c r="AL24" s="66">
        <f t="shared" si="13"/>
        <v>4.5</v>
      </c>
      <c r="AM24" s="66">
        <f t="shared" si="14"/>
        <v>28</v>
      </c>
      <c r="AN24" s="66">
        <f t="shared" si="15"/>
        <v>22.5</v>
      </c>
      <c r="AO24" s="66">
        <f t="shared" si="16"/>
        <v>7.5</v>
      </c>
      <c r="AU24" s="48"/>
      <c r="AV24" s="48"/>
      <c r="AW24" s="48"/>
      <c r="AX24" s="48"/>
      <c r="AY24" s="48"/>
    </row>
    <row r="25" spans="1:51">
      <c r="A25" s="2">
        <f t="shared" si="18"/>
        <v>0.60416666666666674</v>
      </c>
      <c r="B25" s="2">
        <f t="shared" si="1"/>
        <v>0.62500000000000011</v>
      </c>
      <c r="C25" s="19"/>
      <c r="D25" s="19"/>
      <c r="E25" s="20"/>
      <c r="F25" s="20"/>
      <c r="G25" s="20"/>
      <c r="H25" s="20"/>
      <c r="I25" s="20"/>
      <c r="J25" s="20"/>
      <c r="K25" s="20"/>
      <c r="L25" s="20"/>
      <c r="O25" s="29">
        <v>107</v>
      </c>
      <c r="P25" s="29">
        <v>283</v>
      </c>
      <c r="Q25" s="29">
        <v>115</v>
      </c>
      <c r="R25" s="30">
        <v>34</v>
      </c>
      <c r="S25" s="30">
        <f t="shared" si="19"/>
        <v>0</v>
      </c>
      <c r="T25" s="30">
        <v>1</v>
      </c>
      <c r="U25" s="30">
        <v>21</v>
      </c>
      <c r="V25" s="30">
        <v>17</v>
      </c>
      <c r="W25" s="30">
        <v>3</v>
      </c>
      <c r="X25" s="30">
        <f t="shared" si="19"/>
        <v>0</v>
      </c>
      <c r="Y25" s="31">
        <f t="shared" si="20"/>
        <v>256</v>
      </c>
      <c r="Z25" s="32">
        <f t="shared" si="21"/>
        <v>305</v>
      </c>
      <c r="AA25" s="32">
        <f t="shared" si="22"/>
        <v>20</v>
      </c>
      <c r="AB25" s="31">
        <f t="shared" si="23"/>
        <v>581</v>
      </c>
      <c r="AC25" s="33">
        <f t="shared" si="24"/>
        <v>420.5</v>
      </c>
      <c r="AG25" s="66">
        <f t="shared" si="8"/>
        <v>53.5</v>
      </c>
      <c r="AH25" s="66">
        <f t="shared" si="9"/>
        <v>141.5</v>
      </c>
      <c r="AI25" s="66">
        <f t="shared" si="10"/>
        <v>115</v>
      </c>
      <c r="AJ25" s="66">
        <f t="shared" si="11"/>
        <v>34</v>
      </c>
      <c r="AK25" s="66">
        <f t="shared" si="12"/>
        <v>0</v>
      </c>
      <c r="AL25" s="66">
        <f t="shared" si="13"/>
        <v>1.5</v>
      </c>
      <c r="AM25" s="66">
        <f t="shared" si="14"/>
        <v>42</v>
      </c>
      <c r="AN25" s="66">
        <f t="shared" si="15"/>
        <v>25.5</v>
      </c>
      <c r="AO25" s="66">
        <f t="shared" si="16"/>
        <v>7.5</v>
      </c>
      <c r="AU25" s="48"/>
      <c r="AV25" s="48"/>
      <c r="AW25" s="48"/>
      <c r="AX25" s="48"/>
      <c r="AY25" s="48"/>
    </row>
    <row r="26" spans="1:51">
      <c r="A26" s="3">
        <f t="shared" si="18"/>
        <v>0.62500000000000011</v>
      </c>
      <c r="B26" s="3">
        <f t="shared" si="1"/>
        <v>0.64583333333333348</v>
      </c>
      <c r="C26" s="21"/>
      <c r="D26" s="21"/>
      <c r="E26" s="22"/>
      <c r="F26" s="22"/>
      <c r="G26" s="22"/>
      <c r="H26" s="22"/>
      <c r="I26" s="22"/>
      <c r="J26" s="22"/>
      <c r="K26" s="22"/>
      <c r="L26" s="22"/>
      <c r="O26" s="34">
        <v>95</v>
      </c>
      <c r="P26" s="34">
        <v>228</v>
      </c>
      <c r="Q26" s="34">
        <v>106</v>
      </c>
      <c r="R26" s="35">
        <v>27</v>
      </c>
      <c r="S26" s="35">
        <f t="shared" si="19"/>
        <v>0</v>
      </c>
      <c r="T26" s="35">
        <v>0</v>
      </c>
      <c r="U26" s="35">
        <v>13</v>
      </c>
      <c r="V26" s="35">
        <v>16</v>
      </c>
      <c r="W26" s="35">
        <v>5</v>
      </c>
      <c r="X26" s="35">
        <f t="shared" si="19"/>
        <v>0</v>
      </c>
      <c r="Y26" s="36">
        <f t="shared" si="20"/>
        <v>228</v>
      </c>
      <c r="Z26" s="37">
        <f t="shared" si="21"/>
        <v>241</v>
      </c>
      <c r="AA26" s="37">
        <f t="shared" si="22"/>
        <v>21</v>
      </c>
      <c r="AB26" s="36">
        <f t="shared" si="23"/>
        <v>490</v>
      </c>
      <c r="AC26" s="38">
        <f t="shared" si="24"/>
        <v>357</v>
      </c>
      <c r="AG26" s="66">
        <f t="shared" si="8"/>
        <v>47.5</v>
      </c>
      <c r="AH26" s="66">
        <f t="shared" si="9"/>
        <v>114</v>
      </c>
      <c r="AI26" s="66">
        <f t="shared" si="10"/>
        <v>106</v>
      </c>
      <c r="AJ26" s="66">
        <f t="shared" si="11"/>
        <v>27</v>
      </c>
      <c r="AK26" s="66">
        <f t="shared" si="12"/>
        <v>0</v>
      </c>
      <c r="AL26" s="66">
        <f t="shared" si="13"/>
        <v>0</v>
      </c>
      <c r="AM26" s="66">
        <f t="shared" si="14"/>
        <v>26</v>
      </c>
      <c r="AN26" s="66">
        <f t="shared" si="15"/>
        <v>24</v>
      </c>
      <c r="AO26" s="66">
        <f t="shared" si="16"/>
        <v>12.5</v>
      </c>
      <c r="AQ26" s="49">
        <f t="shared" ref="AQ26:AY26" si="28">SUM(O26:O29)</f>
        <v>409</v>
      </c>
      <c r="AR26" s="49">
        <f t="shared" si="28"/>
        <v>1032</v>
      </c>
      <c r="AS26" s="49">
        <f t="shared" si="28"/>
        <v>405</v>
      </c>
      <c r="AT26" s="49">
        <f t="shared" si="28"/>
        <v>150</v>
      </c>
      <c r="AU26" s="49">
        <f t="shared" si="28"/>
        <v>0</v>
      </c>
      <c r="AV26" s="49">
        <f t="shared" si="28"/>
        <v>2</v>
      </c>
      <c r="AW26" s="49">
        <f t="shared" si="28"/>
        <v>57</v>
      </c>
      <c r="AX26" s="49">
        <f t="shared" si="28"/>
        <v>66</v>
      </c>
      <c r="AY26" s="49">
        <f t="shared" si="28"/>
        <v>17</v>
      </c>
    </row>
    <row r="27" spans="1:51">
      <c r="A27" s="1">
        <f t="shared" si="18"/>
        <v>0.64583333333333348</v>
      </c>
      <c r="B27" s="1">
        <f t="shared" si="1"/>
        <v>0.66666666666666685</v>
      </c>
      <c r="C27" s="17"/>
      <c r="D27" s="17"/>
      <c r="E27" s="18"/>
      <c r="F27" s="18"/>
      <c r="G27" s="18"/>
      <c r="H27" s="18"/>
      <c r="I27" s="18"/>
      <c r="J27" s="18"/>
      <c r="K27" s="18"/>
      <c r="L27" s="18"/>
      <c r="O27" s="24">
        <v>103</v>
      </c>
      <c r="P27" s="24">
        <v>214</v>
      </c>
      <c r="Q27" s="24">
        <v>83</v>
      </c>
      <c r="R27" s="25">
        <v>32</v>
      </c>
      <c r="S27" s="25">
        <f t="shared" si="19"/>
        <v>0</v>
      </c>
      <c r="T27" s="25">
        <v>1</v>
      </c>
      <c r="U27" s="25">
        <v>18</v>
      </c>
      <c r="V27" s="25">
        <v>21</v>
      </c>
      <c r="W27" s="25">
        <v>4</v>
      </c>
      <c r="X27" s="25">
        <f t="shared" si="19"/>
        <v>0</v>
      </c>
      <c r="Y27" s="26">
        <f t="shared" si="20"/>
        <v>218</v>
      </c>
      <c r="Z27" s="27">
        <f t="shared" si="21"/>
        <v>233</v>
      </c>
      <c r="AA27" s="27">
        <f t="shared" si="22"/>
        <v>25</v>
      </c>
      <c r="AB27" s="26">
        <f t="shared" si="23"/>
        <v>476</v>
      </c>
      <c r="AC27" s="28">
        <f t="shared" si="24"/>
        <v>352.5</v>
      </c>
      <c r="AG27" s="66">
        <f t="shared" si="8"/>
        <v>51.5</v>
      </c>
      <c r="AH27" s="66">
        <f t="shared" si="9"/>
        <v>107</v>
      </c>
      <c r="AI27" s="66">
        <f t="shared" si="10"/>
        <v>83</v>
      </c>
      <c r="AJ27" s="66">
        <f t="shared" si="11"/>
        <v>32</v>
      </c>
      <c r="AK27" s="66">
        <f t="shared" si="12"/>
        <v>0</v>
      </c>
      <c r="AL27" s="66">
        <f t="shared" si="13"/>
        <v>1.5</v>
      </c>
      <c r="AM27" s="66">
        <f t="shared" si="14"/>
        <v>36</v>
      </c>
      <c r="AN27" s="66">
        <f t="shared" si="15"/>
        <v>31.5</v>
      </c>
      <c r="AO27" s="66">
        <f t="shared" si="16"/>
        <v>10</v>
      </c>
      <c r="AU27" s="48"/>
      <c r="AV27" s="48"/>
      <c r="AW27" s="48"/>
      <c r="AX27" s="48"/>
      <c r="AY27" s="48"/>
    </row>
    <row r="28" spans="1:51">
      <c r="A28" s="1">
        <f t="shared" si="18"/>
        <v>0.66666666666666685</v>
      </c>
      <c r="B28" s="1">
        <f t="shared" si="1"/>
        <v>0.68750000000000022</v>
      </c>
      <c r="C28" s="17"/>
      <c r="D28" s="17"/>
      <c r="E28" s="18"/>
      <c r="F28" s="18"/>
      <c r="G28" s="18"/>
      <c r="H28" s="18"/>
      <c r="I28" s="18"/>
      <c r="J28" s="18"/>
      <c r="K28" s="18"/>
      <c r="L28" s="18"/>
      <c r="O28" s="24">
        <v>103</v>
      </c>
      <c r="P28" s="24">
        <v>283</v>
      </c>
      <c r="Q28" s="24">
        <v>112</v>
      </c>
      <c r="R28" s="25">
        <v>46</v>
      </c>
      <c r="S28" s="25">
        <f t="shared" si="19"/>
        <v>0</v>
      </c>
      <c r="T28" s="25">
        <v>1</v>
      </c>
      <c r="U28" s="25">
        <v>15</v>
      </c>
      <c r="V28" s="25">
        <v>19</v>
      </c>
      <c r="W28" s="25">
        <v>7</v>
      </c>
      <c r="X28" s="25">
        <f t="shared" si="19"/>
        <v>0</v>
      </c>
      <c r="Y28" s="26">
        <f t="shared" si="20"/>
        <v>261</v>
      </c>
      <c r="Z28" s="27">
        <f t="shared" si="21"/>
        <v>299</v>
      </c>
      <c r="AA28" s="27">
        <f t="shared" si="22"/>
        <v>26</v>
      </c>
      <c r="AB28" s="26">
        <f t="shared" si="23"/>
        <v>586</v>
      </c>
      <c r="AC28" s="28">
        <f t="shared" si="24"/>
        <v>428.5</v>
      </c>
      <c r="AG28" s="66">
        <f t="shared" si="8"/>
        <v>51.5</v>
      </c>
      <c r="AH28" s="66">
        <f t="shared" si="9"/>
        <v>141.5</v>
      </c>
      <c r="AI28" s="66">
        <f t="shared" si="10"/>
        <v>112</v>
      </c>
      <c r="AJ28" s="66">
        <f t="shared" si="11"/>
        <v>46</v>
      </c>
      <c r="AK28" s="66">
        <f t="shared" si="12"/>
        <v>0</v>
      </c>
      <c r="AL28" s="66">
        <f t="shared" si="13"/>
        <v>1.5</v>
      </c>
      <c r="AM28" s="66">
        <f t="shared" si="14"/>
        <v>30</v>
      </c>
      <c r="AN28" s="66">
        <f t="shared" si="15"/>
        <v>28.5</v>
      </c>
      <c r="AO28" s="66">
        <f t="shared" si="16"/>
        <v>17.5</v>
      </c>
      <c r="AU28" s="48"/>
      <c r="AV28" s="48"/>
      <c r="AW28" s="48"/>
      <c r="AX28" s="48"/>
      <c r="AY28" s="48"/>
    </row>
    <row r="29" spans="1:51" ht="15.75" thickBot="1">
      <c r="A29" s="4">
        <f t="shared" si="18"/>
        <v>0.68750000000000022</v>
      </c>
      <c r="B29" s="4">
        <f t="shared" si="1"/>
        <v>0.70833333333333359</v>
      </c>
      <c r="C29" s="19"/>
      <c r="D29" s="19"/>
      <c r="E29" s="20"/>
      <c r="F29" s="20"/>
      <c r="G29" s="20"/>
      <c r="H29" s="20"/>
      <c r="I29" s="20"/>
      <c r="J29" s="20"/>
      <c r="K29" s="20"/>
      <c r="L29" s="20"/>
      <c r="O29" s="39">
        <v>108</v>
      </c>
      <c r="P29" s="39">
        <v>307</v>
      </c>
      <c r="Q29" s="39">
        <v>104</v>
      </c>
      <c r="R29" s="40">
        <v>45</v>
      </c>
      <c r="S29" s="40">
        <f t="shared" si="19"/>
        <v>0</v>
      </c>
      <c r="T29" s="40">
        <v>0</v>
      </c>
      <c r="U29" s="40">
        <v>11</v>
      </c>
      <c r="V29" s="40">
        <v>10</v>
      </c>
      <c r="W29" s="40">
        <v>1</v>
      </c>
      <c r="X29" s="40">
        <f t="shared" si="19"/>
        <v>0</v>
      </c>
      <c r="Y29" s="41">
        <f t="shared" si="20"/>
        <v>257</v>
      </c>
      <c r="Z29" s="42">
        <f t="shared" si="21"/>
        <v>318</v>
      </c>
      <c r="AA29" s="42">
        <f t="shared" si="22"/>
        <v>11</v>
      </c>
      <c r="AB29" s="41">
        <f t="shared" si="23"/>
        <v>586</v>
      </c>
      <c r="AC29" s="43">
        <f t="shared" si="24"/>
        <v>396</v>
      </c>
      <c r="AG29" s="66">
        <f t="shared" si="8"/>
        <v>54</v>
      </c>
      <c r="AH29" s="66">
        <f t="shared" si="9"/>
        <v>153.5</v>
      </c>
      <c r="AI29" s="66">
        <f t="shared" si="10"/>
        <v>104</v>
      </c>
      <c r="AJ29" s="66">
        <f t="shared" si="11"/>
        <v>45</v>
      </c>
      <c r="AK29" s="66">
        <f t="shared" si="12"/>
        <v>0</v>
      </c>
      <c r="AL29" s="66">
        <f t="shared" si="13"/>
        <v>0</v>
      </c>
      <c r="AM29" s="66">
        <f t="shared" si="14"/>
        <v>22</v>
      </c>
      <c r="AN29" s="66">
        <f t="shared" si="15"/>
        <v>15</v>
      </c>
      <c r="AO29" s="66">
        <f t="shared" si="16"/>
        <v>2.5</v>
      </c>
      <c r="AU29" s="48"/>
      <c r="AV29" s="48"/>
      <c r="AW29" s="48"/>
      <c r="AX29" s="48"/>
      <c r="AY29" s="48"/>
    </row>
    <row r="30" spans="1:51">
      <c r="A30" s="3">
        <f t="shared" si="18"/>
        <v>0.70833333333333359</v>
      </c>
      <c r="B30" s="3">
        <f t="shared" si="1"/>
        <v>0.72916666666666696</v>
      </c>
      <c r="C30" s="21"/>
      <c r="D30" s="21"/>
      <c r="E30" s="22"/>
      <c r="F30" s="22"/>
      <c r="G30" s="22"/>
      <c r="H30" s="22"/>
      <c r="I30" s="22"/>
      <c r="J30" s="22"/>
      <c r="K30" s="22"/>
      <c r="L30" s="22"/>
      <c r="O30" s="34">
        <v>151</v>
      </c>
      <c r="P30" s="34">
        <v>480</v>
      </c>
      <c r="Q30" s="34">
        <v>142</v>
      </c>
      <c r="R30" s="35">
        <v>42</v>
      </c>
      <c r="S30" s="35">
        <f t="shared" si="19"/>
        <v>0</v>
      </c>
      <c r="T30" s="35">
        <v>0</v>
      </c>
      <c r="U30" s="35">
        <v>7</v>
      </c>
      <c r="V30" s="35">
        <v>14</v>
      </c>
      <c r="W30" s="35">
        <v>0</v>
      </c>
      <c r="X30" s="35">
        <f t="shared" si="19"/>
        <v>0</v>
      </c>
      <c r="Y30" s="36">
        <f t="shared" si="20"/>
        <v>335</v>
      </c>
      <c r="Z30" s="37">
        <f t="shared" si="21"/>
        <v>487</v>
      </c>
      <c r="AA30" s="37">
        <f t="shared" si="22"/>
        <v>14</v>
      </c>
      <c r="AB30" s="36">
        <f t="shared" si="23"/>
        <v>836</v>
      </c>
      <c r="AC30" s="38">
        <f t="shared" si="24"/>
        <v>534.5</v>
      </c>
      <c r="AG30" s="66">
        <f t="shared" si="8"/>
        <v>75.5</v>
      </c>
      <c r="AH30" s="66">
        <f t="shared" si="9"/>
        <v>240</v>
      </c>
      <c r="AI30" s="66">
        <f t="shared" si="10"/>
        <v>142</v>
      </c>
      <c r="AJ30" s="66">
        <f t="shared" si="11"/>
        <v>42</v>
      </c>
      <c r="AK30" s="66">
        <f t="shared" si="12"/>
        <v>0</v>
      </c>
      <c r="AL30" s="66">
        <f t="shared" si="13"/>
        <v>0</v>
      </c>
      <c r="AM30" s="66">
        <f t="shared" si="14"/>
        <v>14</v>
      </c>
      <c r="AN30" s="66">
        <f t="shared" si="15"/>
        <v>21</v>
      </c>
      <c r="AO30" s="66">
        <f t="shared" si="16"/>
        <v>0</v>
      </c>
      <c r="AQ30" s="49">
        <f t="shared" ref="AQ30:AY30" si="29">SUM(O30:O33)</f>
        <v>458</v>
      </c>
      <c r="AR30" s="49">
        <f t="shared" si="29"/>
        <v>1466</v>
      </c>
      <c r="AS30" s="49">
        <f t="shared" si="29"/>
        <v>564</v>
      </c>
      <c r="AT30" s="49">
        <f t="shared" si="29"/>
        <v>147</v>
      </c>
      <c r="AU30" s="49">
        <f t="shared" si="29"/>
        <v>18</v>
      </c>
      <c r="AV30" s="49">
        <f t="shared" si="29"/>
        <v>1</v>
      </c>
      <c r="AW30" s="49">
        <f t="shared" si="29"/>
        <v>16</v>
      </c>
      <c r="AX30" s="49">
        <f t="shared" si="29"/>
        <v>45</v>
      </c>
      <c r="AY30" s="49">
        <f t="shared" si="29"/>
        <v>3</v>
      </c>
    </row>
    <row r="31" spans="1:51">
      <c r="A31" s="1">
        <f t="shared" si="18"/>
        <v>0.72916666666666696</v>
      </c>
      <c r="B31" s="1">
        <f t="shared" si="1"/>
        <v>0.75000000000000033</v>
      </c>
      <c r="C31" s="17"/>
      <c r="D31" s="17"/>
      <c r="E31" s="18"/>
      <c r="F31" s="18"/>
      <c r="G31" s="18"/>
      <c r="H31" s="18"/>
      <c r="I31" s="18"/>
      <c r="J31" s="18"/>
      <c r="K31" s="18"/>
      <c r="L31" s="18"/>
      <c r="O31" s="24">
        <v>103</v>
      </c>
      <c r="P31" s="24">
        <v>325</v>
      </c>
      <c r="Q31" s="24">
        <v>138</v>
      </c>
      <c r="R31" s="25">
        <v>38</v>
      </c>
      <c r="S31" s="25">
        <v>7</v>
      </c>
      <c r="T31" s="25">
        <v>0</v>
      </c>
      <c r="U31" s="25">
        <v>4</v>
      </c>
      <c r="V31" s="25">
        <v>9</v>
      </c>
      <c r="W31" s="25">
        <v>3</v>
      </c>
      <c r="X31" s="25">
        <f t="shared" si="19"/>
        <v>0</v>
      </c>
      <c r="Y31" s="26">
        <f t="shared" si="20"/>
        <v>279</v>
      </c>
      <c r="Z31" s="27">
        <f t="shared" si="21"/>
        <v>336</v>
      </c>
      <c r="AA31" s="27">
        <f t="shared" si="22"/>
        <v>12</v>
      </c>
      <c r="AB31" s="26">
        <f t="shared" si="23"/>
        <v>627</v>
      </c>
      <c r="AC31" s="28">
        <f t="shared" si="24"/>
        <v>426</v>
      </c>
      <c r="AG31" s="66">
        <f t="shared" si="8"/>
        <v>51.5</v>
      </c>
      <c r="AH31" s="66">
        <f t="shared" si="9"/>
        <v>162.5</v>
      </c>
      <c r="AI31" s="66">
        <f t="shared" si="10"/>
        <v>138</v>
      </c>
      <c r="AJ31" s="66">
        <f t="shared" si="11"/>
        <v>38</v>
      </c>
      <c r="AK31" s="66">
        <f t="shared" si="12"/>
        <v>7</v>
      </c>
      <c r="AL31" s="66">
        <f t="shared" si="13"/>
        <v>0</v>
      </c>
      <c r="AM31" s="66">
        <f t="shared" si="14"/>
        <v>8</v>
      </c>
      <c r="AN31" s="66">
        <f t="shared" si="15"/>
        <v>13.5</v>
      </c>
      <c r="AO31" s="66">
        <f t="shared" si="16"/>
        <v>7.5</v>
      </c>
      <c r="AU31" s="48"/>
      <c r="AV31" s="48"/>
      <c r="AW31" s="48"/>
      <c r="AX31" s="48"/>
      <c r="AY31" s="48"/>
    </row>
    <row r="32" spans="1:51">
      <c r="A32" s="1">
        <f t="shared" si="18"/>
        <v>0.75000000000000033</v>
      </c>
      <c r="B32" s="1">
        <f t="shared" si="1"/>
        <v>0.7708333333333337</v>
      </c>
      <c r="C32" s="17"/>
      <c r="D32" s="17"/>
      <c r="E32" s="18"/>
      <c r="F32" s="18"/>
      <c r="G32" s="18"/>
      <c r="H32" s="18"/>
      <c r="I32" s="18"/>
      <c r="J32" s="18"/>
      <c r="K32" s="18"/>
      <c r="L32" s="18"/>
      <c r="O32" s="24">
        <v>101</v>
      </c>
      <c r="P32" s="24">
        <v>313</v>
      </c>
      <c r="Q32" s="24">
        <v>149</v>
      </c>
      <c r="R32" s="25">
        <v>38</v>
      </c>
      <c r="S32" s="25">
        <v>2</v>
      </c>
      <c r="T32" s="25">
        <v>1</v>
      </c>
      <c r="U32" s="25">
        <v>1</v>
      </c>
      <c r="V32" s="25">
        <v>9</v>
      </c>
      <c r="W32" s="25">
        <v>0</v>
      </c>
      <c r="X32" s="25">
        <f t="shared" ref="Q32:X64" si="30">L32-L31</f>
        <v>0</v>
      </c>
      <c r="Y32" s="26">
        <f t="shared" si="20"/>
        <v>288</v>
      </c>
      <c r="Z32" s="27">
        <f t="shared" si="21"/>
        <v>317</v>
      </c>
      <c r="AA32" s="27">
        <f t="shared" si="22"/>
        <v>9</v>
      </c>
      <c r="AB32" s="26">
        <f t="shared" si="23"/>
        <v>614</v>
      </c>
      <c r="AC32" s="28">
        <f t="shared" si="24"/>
        <v>413</v>
      </c>
      <c r="AG32" s="66">
        <f t="shared" si="8"/>
        <v>50.5</v>
      </c>
      <c r="AH32" s="66">
        <f t="shared" si="9"/>
        <v>156.5</v>
      </c>
      <c r="AI32" s="66">
        <f t="shared" si="10"/>
        <v>149</v>
      </c>
      <c r="AJ32" s="66">
        <f t="shared" si="11"/>
        <v>38</v>
      </c>
      <c r="AK32" s="66">
        <f t="shared" si="12"/>
        <v>2</v>
      </c>
      <c r="AL32" s="66">
        <f t="shared" si="13"/>
        <v>1.5</v>
      </c>
      <c r="AM32" s="66">
        <f t="shared" si="14"/>
        <v>2</v>
      </c>
      <c r="AN32" s="66">
        <f t="shared" si="15"/>
        <v>13.5</v>
      </c>
      <c r="AO32" s="66">
        <f t="shared" si="16"/>
        <v>0</v>
      </c>
      <c r="AU32" s="48"/>
      <c r="AV32" s="48"/>
      <c r="AW32" s="48"/>
      <c r="AX32" s="48"/>
      <c r="AY32" s="48"/>
    </row>
    <row r="33" spans="1:51">
      <c r="A33" s="2">
        <f t="shared" si="18"/>
        <v>0.7708333333333337</v>
      </c>
      <c r="B33" s="2">
        <f t="shared" si="1"/>
        <v>0.79166666666666707</v>
      </c>
      <c r="C33" s="19"/>
      <c r="D33" s="19"/>
      <c r="E33" s="20"/>
      <c r="F33" s="20"/>
      <c r="G33" s="20"/>
      <c r="H33" s="20"/>
      <c r="I33" s="20"/>
      <c r="J33" s="20"/>
      <c r="K33" s="20"/>
      <c r="L33" s="20"/>
      <c r="O33" s="29">
        <v>103</v>
      </c>
      <c r="P33" s="29">
        <v>348</v>
      </c>
      <c r="Q33" s="29">
        <v>135</v>
      </c>
      <c r="R33" s="30">
        <v>29</v>
      </c>
      <c r="S33" s="30">
        <v>9</v>
      </c>
      <c r="T33" s="30">
        <v>0</v>
      </c>
      <c r="U33" s="30">
        <v>4</v>
      </c>
      <c r="V33" s="30">
        <v>13</v>
      </c>
      <c r="W33" s="30">
        <v>0</v>
      </c>
      <c r="X33" s="30">
        <f t="shared" si="30"/>
        <v>0</v>
      </c>
      <c r="Y33" s="31">
        <f t="shared" si="20"/>
        <v>267</v>
      </c>
      <c r="Z33" s="32">
        <f t="shared" si="21"/>
        <v>361</v>
      </c>
      <c r="AA33" s="32">
        <f t="shared" si="22"/>
        <v>13</v>
      </c>
      <c r="AB33" s="31">
        <f t="shared" si="23"/>
        <v>641</v>
      </c>
      <c r="AC33" s="33">
        <f t="shared" si="24"/>
        <v>426</v>
      </c>
      <c r="AG33" s="66">
        <f t="shared" si="8"/>
        <v>51.5</v>
      </c>
      <c r="AH33" s="66">
        <f t="shared" si="9"/>
        <v>174</v>
      </c>
      <c r="AI33" s="66">
        <f t="shared" si="10"/>
        <v>135</v>
      </c>
      <c r="AJ33" s="66">
        <f t="shared" si="11"/>
        <v>29</v>
      </c>
      <c r="AK33" s="66">
        <f t="shared" si="12"/>
        <v>9</v>
      </c>
      <c r="AL33" s="66">
        <f t="shared" si="13"/>
        <v>0</v>
      </c>
      <c r="AM33" s="66">
        <f t="shared" si="14"/>
        <v>8</v>
      </c>
      <c r="AN33" s="66">
        <f t="shared" si="15"/>
        <v>19.5</v>
      </c>
      <c r="AO33" s="66">
        <f t="shared" si="16"/>
        <v>0</v>
      </c>
      <c r="AU33" s="48"/>
      <c r="AV33" s="48"/>
      <c r="AW33" s="48"/>
      <c r="AX33" s="48"/>
      <c r="AY33" s="48"/>
    </row>
    <row r="34" spans="1:51">
      <c r="A34" s="3">
        <f t="shared" si="18"/>
        <v>0.79166666666666707</v>
      </c>
      <c r="B34" s="3">
        <f t="shared" si="1"/>
        <v>0.81250000000000044</v>
      </c>
      <c r="C34" s="21"/>
      <c r="D34" s="21"/>
      <c r="E34" s="22"/>
      <c r="F34" s="22"/>
      <c r="G34" s="22"/>
      <c r="H34" s="22"/>
      <c r="I34" s="22"/>
      <c r="J34" s="22"/>
      <c r="K34" s="22"/>
      <c r="L34" s="22"/>
      <c r="O34" s="34">
        <v>94</v>
      </c>
      <c r="P34" s="34">
        <v>289</v>
      </c>
      <c r="Q34" s="34">
        <v>137</v>
      </c>
      <c r="R34" s="35">
        <v>31</v>
      </c>
      <c r="S34" s="35">
        <v>2</v>
      </c>
      <c r="T34" s="35">
        <v>2</v>
      </c>
      <c r="U34" s="35">
        <v>19</v>
      </c>
      <c r="V34" s="35">
        <v>6</v>
      </c>
      <c r="W34" s="35">
        <v>0</v>
      </c>
      <c r="X34" s="35">
        <f t="shared" si="30"/>
        <v>0</v>
      </c>
      <c r="Y34" s="36">
        <f t="shared" si="20"/>
        <v>262</v>
      </c>
      <c r="Z34" s="37">
        <f t="shared" si="21"/>
        <v>312</v>
      </c>
      <c r="AA34" s="37">
        <f t="shared" si="22"/>
        <v>6</v>
      </c>
      <c r="AB34" s="36">
        <f t="shared" si="23"/>
        <v>580</v>
      </c>
      <c r="AC34" s="38">
        <f t="shared" si="24"/>
        <v>411.5</v>
      </c>
      <c r="AG34" s="66">
        <f t="shared" si="8"/>
        <v>47</v>
      </c>
      <c r="AH34" s="66">
        <f t="shared" si="9"/>
        <v>144.5</v>
      </c>
      <c r="AI34" s="66">
        <f t="shared" si="10"/>
        <v>137</v>
      </c>
      <c r="AJ34" s="66">
        <f t="shared" si="11"/>
        <v>31</v>
      </c>
      <c r="AK34" s="66">
        <f t="shared" si="12"/>
        <v>2</v>
      </c>
      <c r="AL34" s="66">
        <f t="shared" si="13"/>
        <v>3</v>
      </c>
      <c r="AM34" s="66">
        <f t="shared" si="14"/>
        <v>38</v>
      </c>
      <c r="AN34" s="66">
        <f t="shared" si="15"/>
        <v>9</v>
      </c>
      <c r="AO34" s="66">
        <f t="shared" si="16"/>
        <v>0</v>
      </c>
      <c r="AQ34" s="49">
        <f t="shared" ref="AQ34:AY34" si="31">SUM(O34:O37)</f>
        <v>279</v>
      </c>
      <c r="AR34" s="49">
        <f t="shared" si="31"/>
        <v>1161</v>
      </c>
      <c r="AS34" s="49">
        <f t="shared" si="31"/>
        <v>377</v>
      </c>
      <c r="AT34" s="49">
        <f t="shared" si="31"/>
        <v>65</v>
      </c>
      <c r="AU34" s="49">
        <f t="shared" si="31"/>
        <v>11</v>
      </c>
      <c r="AV34" s="49">
        <f t="shared" si="31"/>
        <v>4</v>
      </c>
      <c r="AW34" s="49">
        <f t="shared" si="31"/>
        <v>27</v>
      </c>
      <c r="AX34" s="49">
        <f t="shared" si="31"/>
        <v>17</v>
      </c>
      <c r="AY34" s="49">
        <f t="shared" si="31"/>
        <v>3</v>
      </c>
    </row>
    <row r="35" spans="1:51">
      <c r="A35" s="1">
        <f t="shared" si="18"/>
        <v>0.81250000000000044</v>
      </c>
      <c r="B35" s="1">
        <f t="shared" si="1"/>
        <v>0.83333333333333381</v>
      </c>
      <c r="C35" s="17"/>
      <c r="D35" s="17"/>
      <c r="E35" s="18"/>
      <c r="F35" s="18"/>
      <c r="G35" s="18"/>
      <c r="H35" s="18"/>
      <c r="I35" s="18"/>
      <c r="J35" s="18"/>
      <c r="K35" s="18"/>
      <c r="L35" s="18"/>
      <c r="O35" s="24">
        <v>81</v>
      </c>
      <c r="P35" s="24">
        <v>350</v>
      </c>
      <c r="Q35" s="24">
        <v>102</v>
      </c>
      <c r="R35" s="25">
        <v>15</v>
      </c>
      <c r="S35" s="25">
        <v>5</v>
      </c>
      <c r="T35" s="25">
        <v>2</v>
      </c>
      <c r="U35" s="25">
        <v>3</v>
      </c>
      <c r="V35" s="25">
        <v>3</v>
      </c>
      <c r="W35" s="25">
        <v>2</v>
      </c>
      <c r="X35" s="25">
        <f t="shared" si="30"/>
        <v>0</v>
      </c>
      <c r="Y35" s="26">
        <f t="shared" si="20"/>
        <v>198</v>
      </c>
      <c r="Z35" s="27">
        <f t="shared" si="21"/>
        <v>360</v>
      </c>
      <c r="AA35" s="27">
        <f t="shared" si="22"/>
        <v>5</v>
      </c>
      <c r="AB35" s="26">
        <f t="shared" si="23"/>
        <v>563</v>
      </c>
      <c r="AC35" s="28">
        <f t="shared" si="24"/>
        <v>356</v>
      </c>
      <c r="AG35" s="66">
        <f t="shared" si="8"/>
        <v>40.5</v>
      </c>
      <c r="AH35" s="66">
        <f t="shared" si="9"/>
        <v>175</v>
      </c>
      <c r="AI35" s="66">
        <f t="shared" si="10"/>
        <v>102</v>
      </c>
      <c r="AJ35" s="66">
        <f t="shared" si="11"/>
        <v>15</v>
      </c>
      <c r="AK35" s="66">
        <f t="shared" si="12"/>
        <v>5</v>
      </c>
      <c r="AL35" s="66">
        <f t="shared" si="13"/>
        <v>3</v>
      </c>
      <c r="AM35" s="66">
        <f t="shared" si="14"/>
        <v>6</v>
      </c>
      <c r="AN35" s="66">
        <f t="shared" si="15"/>
        <v>4.5</v>
      </c>
      <c r="AO35" s="66">
        <f t="shared" si="16"/>
        <v>5</v>
      </c>
      <c r="AU35" s="48"/>
      <c r="AV35" s="48"/>
      <c r="AW35" s="48"/>
      <c r="AX35" s="48"/>
      <c r="AY35" s="48"/>
    </row>
    <row r="36" spans="1:51">
      <c r="A36" s="1">
        <f t="shared" si="18"/>
        <v>0.83333333333333381</v>
      </c>
      <c r="B36" s="1">
        <f t="shared" si="1"/>
        <v>0.85416666666666718</v>
      </c>
      <c r="C36" s="17"/>
      <c r="D36" s="17"/>
      <c r="E36" s="18"/>
      <c r="F36" s="18"/>
      <c r="G36" s="18"/>
      <c r="H36" s="18"/>
      <c r="I36" s="18"/>
      <c r="J36" s="18"/>
      <c r="K36" s="18"/>
      <c r="L36" s="18"/>
      <c r="O36" s="24">
        <v>57</v>
      </c>
      <c r="P36" s="24">
        <v>350</v>
      </c>
      <c r="Q36" s="24">
        <v>67</v>
      </c>
      <c r="R36" s="25">
        <v>12</v>
      </c>
      <c r="S36" s="25">
        <v>2</v>
      </c>
      <c r="T36" s="25">
        <v>0</v>
      </c>
      <c r="U36" s="25">
        <v>5</v>
      </c>
      <c r="V36" s="25">
        <v>5</v>
      </c>
      <c r="W36" s="25">
        <v>0</v>
      </c>
      <c r="X36" s="25">
        <f t="shared" si="30"/>
        <v>0</v>
      </c>
      <c r="Y36" s="26">
        <f t="shared" si="20"/>
        <v>136</v>
      </c>
      <c r="Z36" s="27">
        <f t="shared" si="21"/>
        <v>357</v>
      </c>
      <c r="AA36" s="27">
        <f t="shared" si="22"/>
        <v>5</v>
      </c>
      <c r="AB36" s="26">
        <f t="shared" si="23"/>
        <v>498</v>
      </c>
      <c r="AC36" s="28">
        <f t="shared" si="24"/>
        <v>302</v>
      </c>
      <c r="AG36" s="66">
        <f t="shared" si="8"/>
        <v>28.5</v>
      </c>
      <c r="AH36" s="66">
        <f t="shared" si="9"/>
        <v>175</v>
      </c>
      <c r="AI36" s="66">
        <f t="shared" si="10"/>
        <v>67</v>
      </c>
      <c r="AJ36" s="66">
        <f t="shared" si="11"/>
        <v>12</v>
      </c>
      <c r="AK36" s="66">
        <f t="shared" si="12"/>
        <v>2</v>
      </c>
      <c r="AL36" s="66">
        <f t="shared" si="13"/>
        <v>0</v>
      </c>
      <c r="AM36" s="66">
        <f t="shared" si="14"/>
        <v>10</v>
      </c>
      <c r="AN36" s="66">
        <f t="shared" si="15"/>
        <v>7.5</v>
      </c>
      <c r="AO36" s="66">
        <f t="shared" si="16"/>
        <v>0</v>
      </c>
      <c r="AU36" s="48"/>
      <c r="AV36" s="48"/>
      <c r="AW36" s="48"/>
      <c r="AX36" s="48"/>
      <c r="AY36" s="48"/>
    </row>
    <row r="37" spans="1:51">
      <c r="A37" s="2">
        <f t="shared" si="18"/>
        <v>0.85416666666666718</v>
      </c>
      <c r="B37" s="2">
        <f t="shared" si="1"/>
        <v>0.87500000000000056</v>
      </c>
      <c r="C37" s="19"/>
      <c r="D37" s="19"/>
      <c r="E37" s="20"/>
      <c r="F37" s="20"/>
      <c r="G37" s="20"/>
      <c r="H37" s="20"/>
      <c r="I37" s="20"/>
      <c r="J37" s="20"/>
      <c r="K37" s="20"/>
      <c r="L37" s="20"/>
      <c r="O37" s="29">
        <v>47</v>
      </c>
      <c r="P37" s="29">
        <v>172</v>
      </c>
      <c r="Q37" s="29">
        <v>71</v>
      </c>
      <c r="R37" s="30">
        <v>7</v>
      </c>
      <c r="S37" s="30">
        <v>2</v>
      </c>
      <c r="T37" s="30">
        <v>0</v>
      </c>
      <c r="U37" s="30">
        <v>0</v>
      </c>
      <c r="V37" s="30">
        <v>3</v>
      </c>
      <c r="W37" s="30">
        <v>1</v>
      </c>
      <c r="X37" s="30">
        <f t="shared" si="30"/>
        <v>0</v>
      </c>
      <c r="Y37" s="31">
        <f t="shared" si="20"/>
        <v>125</v>
      </c>
      <c r="Z37" s="32">
        <f t="shared" si="21"/>
        <v>174</v>
      </c>
      <c r="AA37" s="32">
        <f t="shared" si="22"/>
        <v>4</v>
      </c>
      <c r="AB37" s="31">
        <f t="shared" si="23"/>
        <v>303</v>
      </c>
      <c r="AC37" s="33">
        <f t="shared" si="24"/>
        <v>196.5</v>
      </c>
      <c r="AG37" s="66">
        <f t="shared" si="8"/>
        <v>23.5</v>
      </c>
      <c r="AH37" s="66">
        <f t="shared" si="9"/>
        <v>86</v>
      </c>
      <c r="AI37" s="66">
        <f t="shared" si="10"/>
        <v>71</v>
      </c>
      <c r="AJ37" s="66">
        <f t="shared" si="11"/>
        <v>7</v>
      </c>
      <c r="AK37" s="66">
        <f t="shared" si="12"/>
        <v>2</v>
      </c>
      <c r="AL37" s="66">
        <f t="shared" si="13"/>
        <v>0</v>
      </c>
      <c r="AM37" s="66">
        <f t="shared" si="14"/>
        <v>0</v>
      </c>
      <c r="AN37" s="66">
        <f t="shared" si="15"/>
        <v>4.5</v>
      </c>
      <c r="AO37" s="66">
        <f t="shared" si="16"/>
        <v>2.5</v>
      </c>
      <c r="AU37" s="48"/>
      <c r="AV37" s="48"/>
      <c r="AW37" s="48"/>
      <c r="AX37" s="48"/>
      <c r="AY37" s="48"/>
    </row>
    <row r="38" spans="1:51">
      <c r="A38" s="3">
        <f t="shared" si="18"/>
        <v>0.87500000000000056</v>
      </c>
      <c r="B38" s="3">
        <f t="shared" si="1"/>
        <v>0.89583333333333393</v>
      </c>
      <c r="C38" s="21"/>
      <c r="D38" s="21"/>
      <c r="E38" s="22"/>
      <c r="F38" s="22"/>
      <c r="G38" s="22"/>
      <c r="H38" s="22"/>
      <c r="I38" s="22"/>
      <c r="J38" s="22"/>
      <c r="K38" s="22"/>
      <c r="L38" s="22"/>
      <c r="O38" s="34">
        <f t="shared" ref="O38:P65" si="32">C38-C37</f>
        <v>0</v>
      </c>
      <c r="P38" s="34">
        <f t="shared" si="32"/>
        <v>0</v>
      </c>
      <c r="Q38" s="34">
        <f t="shared" si="30"/>
        <v>0</v>
      </c>
      <c r="R38" s="35">
        <f t="shared" si="30"/>
        <v>0</v>
      </c>
      <c r="S38" s="35">
        <f t="shared" si="30"/>
        <v>0</v>
      </c>
      <c r="T38" s="35">
        <f t="shared" si="30"/>
        <v>0</v>
      </c>
      <c r="U38" s="35">
        <f t="shared" si="30"/>
        <v>0</v>
      </c>
      <c r="V38" s="35">
        <f t="shared" si="30"/>
        <v>0</v>
      </c>
      <c r="W38" s="35">
        <f t="shared" si="30"/>
        <v>0</v>
      </c>
      <c r="X38" s="35">
        <f t="shared" si="30"/>
        <v>0</v>
      </c>
      <c r="Y38" s="36">
        <f t="shared" si="20"/>
        <v>0</v>
      </c>
      <c r="Z38" s="37">
        <f t="shared" si="21"/>
        <v>0</v>
      </c>
      <c r="AA38" s="37">
        <f t="shared" si="22"/>
        <v>0</v>
      </c>
      <c r="AB38" s="36">
        <f t="shared" si="23"/>
        <v>0</v>
      </c>
      <c r="AC38" s="38">
        <f t="shared" ref="AC38:AC65" si="33">SUM(AG38:AO38)</f>
        <v>0</v>
      </c>
      <c r="AG38" s="66">
        <f t="shared" ref="AG38:AG65" si="34">O38*O$8</f>
        <v>0</v>
      </c>
      <c r="AH38" s="66">
        <f t="shared" ref="AH38:AH65" si="35">P38*P$8</f>
        <v>0</v>
      </c>
      <c r="AI38" s="66">
        <f t="shared" ref="AI38:AI65" si="36">Q38*Q$8</f>
        <v>0</v>
      </c>
      <c r="AJ38" s="66">
        <f t="shared" ref="AJ38:AJ65" si="37">R38*R$8</f>
        <v>0</v>
      </c>
      <c r="AK38" s="66">
        <f t="shared" ref="AK38:AK65" si="38">S38*S$8</f>
        <v>0</v>
      </c>
      <c r="AL38" s="66">
        <f t="shared" ref="AL38:AL65" si="39">T38*T$8</f>
        <v>0</v>
      </c>
      <c r="AM38" s="66">
        <f t="shared" ref="AM38:AM65" si="40">U38*U$8</f>
        <v>0</v>
      </c>
      <c r="AN38" s="66">
        <f t="shared" ref="AN38:AN65" si="41">V38*V$8</f>
        <v>0</v>
      </c>
      <c r="AO38" s="66">
        <f t="shared" ref="AO38:AO65" si="42">W38*W$8</f>
        <v>0</v>
      </c>
      <c r="AQ38" s="49">
        <f t="shared" ref="AQ38:AY38" si="43">SUM(O38:O41)</f>
        <v>0</v>
      </c>
      <c r="AR38" s="49">
        <f t="shared" si="43"/>
        <v>0</v>
      </c>
      <c r="AS38" s="49">
        <f t="shared" si="43"/>
        <v>0</v>
      </c>
      <c r="AT38" s="49">
        <f t="shared" si="43"/>
        <v>0</v>
      </c>
      <c r="AU38" s="49">
        <f t="shared" si="43"/>
        <v>0</v>
      </c>
      <c r="AV38" s="49">
        <f t="shared" si="43"/>
        <v>0</v>
      </c>
      <c r="AW38" s="49">
        <f t="shared" si="43"/>
        <v>0</v>
      </c>
      <c r="AX38" s="49">
        <f t="shared" si="43"/>
        <v>0</v>
      </c>
      <c r="AY38" s="49">
        <f t="shared" si="43"/>
        <v>0</v>
      </c>
    </row>
    <row r="39" spans="1:51">
      <c r="A39" s="1">
        <f t="shared" si="18"/>
        <v>0.89583333333333393</v>
      </c>
      <c r="B39" s="1">
        <f t="shared" si="1"/>
        <v>0.9166666666666673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O39" s="24">
        <f t="shared" si="32"/>
        <v>0</v>
      </c>
      <c r="P39" s="24">
        <f t="shared" si="32"/>
        <v>0</v>
      </c>
      <c r="Q39" s="24">
        <f t="shared" si="30"/>
        <v>0</v>
      </c>
      <c r="R39" s="25">
        <f t="shared" si="30"/>
        <v>0</v>
      </c>
      <c r="S39" s="25">
        <f t="shared" si="30"/>
        <v>0</v>
      </c>
      <c r="T39" s="25">
        <f t="shared" si="30"/>
        <v>0</v>
      </c>
      <c r="U39" s="25">
        <f t="shared" si="30"/>
        <v>0</v>
      </c>
      <c r="V39" s="25">
        <f t="shared" si="30"/>
        <v>0</v>
      </c>
      <c r="W39" s="25">
        <f t="shared" si="30"/>
        <v>0</v>
      </c>
      <c r="X39" s="25">
        <f t="shared" si="30"/>
        <v>0</v>
      </c>
      <c r="Y39" s="26">
        <f t="shared" si="20"/>
        <v>0</v>
      </c>
      <c r="Z39" s="27">
        <f t="shared" si="21"/>
        <v>0</v>
      </c>
      <c r="AA39" s="27">
        <f t="shared" si="22"/>
        <v>0</v>
      </c>
      <c r="AB39" s="26">
        <f t="shared" si="23"/>
        <v>0</v>
      </c>
      <c r="AC39" s="28">
        <f t="shared" si="33"/>
        <v>0</v>
      </c>
      <c r="AG39" s="66">
        <f t="shared" si="34"/>
        <v>0</v>
      </c>
      <c r="AH39" s="66">
        <f t="shared" si="35"/>
        <v>0</v>
      </c>
      <c r="AI39" s="66">
        <f t="shared" si="36"/>
        <v>0</v>
      </c>
      <c r="AJ39" s="66">
        <f t="shared" si="37"/>
        <v>0</v>
      </c>
      <c r="AK39" s="66">
        <f t="shared" si="38"/>
        <v>0</v>
      </c>
      <c r="AL39" s="66">
        <f t="shared" si="39"/>
        <v>0</v>
      </c>
      <c r="AM39" s="66">
        <f t="shared" si="40"/>
        <v>0</v>
      </c>
      <c r="AN39" s="66">
        <f t="shared" si="41"/>
        <v>0</v>
      </c>
      <c r="AO39" s="66">
        <f t="shared" si="42"/>
        <v>0</v>
      </c>
      <c r="AU39" s="48"/>
      <c r="AV39" s="48"/>
      <c r="AW39" s="48"/>
      <c r="AX39" s="48"/>
      <c r="AY39" s="48"/>
    </row>
    <row r="40" spans="1:51">
      <c r="A40" s="1">
        <f t="shared" si="18"/>
        <v>0.9166666666666673</v>
      </c>
      <c r="B40" s="1">
        <f t="shared" si="1"/>
        <v>0.93750000000000067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O40" s="24">
        <f t="shared" si="32"/>
        <v>0</v>
      </c>
      <c r="P40" s="24">
        <f t="shared" si="32"/>
        <v>0</v>
      </c>
      <c r="Q40" s="24">
        <f t="shared" si="30"/>
        <v>0</v>
      </c>
      <c r="R40" s="25">
        <f t="shared" si="30"/>
        <v>0</v>
      </c>
      <c r="S40" s="25">
        <f t="shared" si="30"/>
        <v>0</v>
      </c>
      <c r="T40" s="25">
        <f t="shared" si="30"/>
        <v>0</v>
      </c>
      <c r="U40" s="25">
        <f t="shared" si="30"/>
        <v>0</v>
      </c>
      <c r="V40" s="25">
        <f t="shared" si="30"/>
        <v>0</v>
      </c>
      <c r="W40" s="25">
        <f t="shared" si="30"/>
        <v>0</v>
      </c>
      <c r="X40" s="25">
        <f t="shared" si="30"/>
        <v>0</v>
      </c>
      <c r="Y40" s="26">
        <f t="shared" si="20"/>
        <v>0</v>
      </c>
      <c r="Z40" s="27">
        <f t="shared" si="21"/>
        <v>0</v>
      </c>
      <c r="AA40" s="27">
        <f t="shared" si="22"/>
        <v>0</v>
      </c>
      <c r="AB40" s="26">
        <f t="shared" si="23"/>
        <v>0</v>
      </c>
      <c r="AC40" s="28">
        <f t="shared" si="33"/>
        <v>0</v>
      </c>
      <c r="AG40" s="66">
        <f t="shared" si="34"/>
        <v>0</v>
      </c>
      <c r="AH40" s="66">
        <f t="shared" si="35"/>
        <v>0</v>
      </c>
      <c r="AI40" s="66">
        <f t="shared" si="36"/>
        <v>0</v>
      </c>
      <c r="AJ40" s="66">
        <f t="shared" si="37"/>
        <v>0</v>
      </c>
      <c r="AK40" s="66">
        <f t="shared" si="38"/>
        <v>0</v>
      </c>
      <c r="AL40" s="66">
        <f t="shared" si="39"/>
        <v>0</v>
      </c>
      <c r="AM40" s="66">
        <f t="shared" si="40"/>
        <v>0</v>
      </c>
      <c r="AN40" s="66">
        <f t="shared" si="41"/>
        <v>0</v>
      </c>
      <c r="AO40" s="66">
        <f t="shared" si="42"/>
        <v>0</v>
      </c>
      <c r="AU40" s="48"/>
      <c r="AV40" s="48"/>
      <c r="AW40" s="48"/>
      <c r="AX40" s="48"/>
      <c r="AY40" s="48"/>
    </row>
    <row r="41" spans="1:51" ht="15.75" thickBot="1">
      <c r="A41" s="4">
        <f t="shared" si="18"/>
        <v>0.93750000000000067</v>
      </c>
      <c r="B41" s="4">
        <f t="shared" si="1"/>
        <v>0.95833333333333404</v>
      </c>
      <c r="C41" s="19"/>
      <c r="D41" s="19"/>
      <c r="E41" s="20"/>
      <c r="F41" s="20"/>
      <c r="G41" s="20"/>
      <c r="H41" s="20"/>
      <c r="I41" s="20"/>
      <c r="J41" s="20"/>
      <c r="K41" s="20"/>
      <c r="L41" s="20"/>
      <c r="O41" s="39">
        <f t="shared" si="32"/>
        <v>0</v>
      </c>
      <c r="P41" s="39">
        <f t="shared" si="32"/>
        <v>0</v>
      </c>
      <c r="Q41" s="39">
        <f t="shared" si="30"/>
        <v>0</v>
      </c>
      <c r="R41" s="40">
        <f t="shared" si="30"/>
        <v>0</v>
      </c>
      <c r="S41" s="40">
        <f t="shared" si="30"/>
        <v>0</v>
      </c>
      <c r="T41" s="40">
        <f t="shared" si="30"/>
        <v>0</v>
      </c>
      <c r="U41" s="40">
        <f t="shared" si="30"/>
        <v>0</v>
      </c>
      <c r="V41" s="40">
        <f t="shared" si="30"/>
        <v>0</v>
      </c>
      <c r="W41" s="40">
        <f t="shared" si="30"/>
        <v>0</v>
      </c>
      <c r="X41" s="40">
        <f t="shared" si="30"/>
        <v>0</v>
      </c>
      <c r="Y41" s="41">
        <f t="shared" si="20"/>
        <v>0</v>
      </c>
      <c r="Z41" s="42">
        <f t="shared" si="21"/>
        <v>0</v>
      </c>
      <c r="AA41" s="42">
        <f t="shared" si="22"/>
        <v>0</v>
      </c>
      <c r="AB41" s="41">
        <f t="shared" si="23"/>
        <v>0</v>
      </c>
      <c r="AC41" s="43">
        <f t="shared" si="33"/>
        <v>0</v>
      </c>
      <c r="AG41" s="66">
        <f t="shared" si="34"/>
        <v>0</v>
      </c>
      <c r="AH41" s="66">
        <f t="shared" si="35"/>
        <v>0</v>
      </c>
      <c r="AI41" s="66">
        <f t="shared" si="36"/>
        <v>0</v>
      </c>
      <c r="AJ41" s="66">
        <f t="shared" si="37"/>
        <v>0</v>
      </c>
      <c r="AK41" s="66">
        <f t="shared" si="38"/>
        <v>0</v>
      </c>
      <c r="AL41" s="66">
        <f t="shared" si="39"/>
        <v>0</v>
      </c>
      <c r="AM41" s="66">
        <f t="shared" si="40"/>
        <v>0</v>
      </c>
      <c r="AN41" s="66">
        <f t="shared" si="41"/>
        <v>0</v>
      </c>
      <c r="AO41" s="66">
        <f t="shared" si="42"/>
        <v>0</v>
      </c>
      <c r="AU41" s="48"/>
      <c r="AV41" s="48"/>
      <c r="AW41" s="48"/>
      <c r="AX41" s="48"/>
      <c r="AY41" s="48"/>
    </row>
    <row r="42" spans="1:51">
      <c r="A42" s="3">
        <f t="shared" si="18"/>
        <v>0.95833333333333404</v>
      </c>
      <c r="B42" s="3">
        <f t="shared" si="1"/>
        <v>0.97916666666666741</v>
      </c>
      <c r="C42" s="21"/>
      <c r="D42" s="21"/>
      <c r="E42" s="22"/>
      <c r="F42" s="22"/>
      <c r="G42" s="22"/>
      <c r="H42" s="22"/>
      <c r="I42" s="22"/>
      <c r="J42" s="22"/>
      <c r="K42" s="22"/>
      <c r="L42" s="22"/>
      <c r="O42" s="34">
        <f t="shared" si="32"/>
        <v>0</v>
      </c>
      <c r="P42" s="34">
        <f t="shared" si="32"/>
        <v>0</v>
      </c>
      <c r="Q42" s="34">
        <f t="shared" si="30"/>
        <v>0</v>
      </c>
      <c r="R42" s="35">
        <f t="shared" si="30"/>
        <v>0</v>
      </c>
      <c r="S42" s="35">
        <f t="shared" si="30"/>
        <v>0</v>
      </c>
      <c r="T42" s="35">
        <f t="shared" si="30"/>
        <v>0</v>
      </c>
      <c r="U42" s="35">
        <f t="shared" si="30"/>
        <v>0</v>
      </c>
      <c r="V42" s="35">
        <f t="shared" si="30"/>
        <v>0</v>
      </c>
      <c r="W42" s="35">
        <f t="shared" si="30"/>
        <v>0</v>
      </c>
      <c r="X42" s="35">
        <f t="shared" si="30"/>
        <v>0</v>
      </c>
      <c r="Y42" s="36">
        <f t="shared" si="20"/>
        <v>0</v>
      </c>
      <c r="Z42" s="37">
        <f t="shared" si="21"/>
        <v>0</v>
      </c>
      <c r="AA42" s="37">
        <f t="shared" si="22"/>
        <v>0</v>
      </c>
      <c r="AB42" s="36">
        <f t="shared" si="23"/>
        <v>0</v>
      </c>
      <c r="AC42" s="38">
        <f t="shared" si="33"/>
        <v>0</v>
      </c>
      <c r="AG42" s="66">
        <f t="shared" si="34"/>
        <v>0</v>
      </c>
      <c r="AH42" s="66">
        <f t="shared" si="35"/>
        <v>0</v>
      </c>
      <c r="AI42" s="66">
        <f t="shared" si="36"/>
        <v>0</v>
      </c>
      <c r="AJ42" s="66">
        <f t="shared" si="37"/>
        <v>0</v>
      </c>
      <c r="AK42" s="66">
        <f t="shared" si="38"/>
        <v>0</v>
      </c>
      <c r="AL42" s="66">
        <f t="shared" si="39"/>
        <v>0</v>
      </c>
      <c r="AM42" s="66">
        <f t="shared" si="40"/>
        <v>0</v>
      </c>
      <c r="AN42" s="66">
        <f t="shared" si="41"/>
        <v>0</v>
      </c>
      <c r="AO42" s="66">
        <f t="shared" si="42"/>
        <v>0</v>
      </c>
      <c r="AQ42" s="49">
        <f t="shared" ref="AQ42:AY42" si="44">SUM(O42:O45)</f>
        <v>0</v>
      </c>
      <c r="AR42" s="49">
        <f t="shared" si="44"/>
        <v>0</v>
      </c>
      <c r="AS42" s="49">
        <f t="shared" si="44"/>
        <v>0</v>
      </c>
      <c r="AT42" s="49">
        <f t="shared" si="44"/>
        <v>0</v>
      </c>
      <c r="AU42" s="49">
        <f t="shared" si="44"/>
        <v>0</v>
      </c>
      <c r="AV42" s="49">
        <f t="shared" si="44"/>
        <v>0</v>
      </c>
      <c r="AW42" s="49">
        <f t="shared" si="44"/>
        <v>0</v>
      </c>
      <c r="AX42" s="49">
        <f t="shared" si="44"/>
        <v>0</v>
      </c>
      <c r="AY42" s="49">
        <f t="shared" si="44"/>
        <v>0</v>
      </c>
    </row>
    <row r="43" spans="1:51">
      <c r="A43" s="1">
        <f t="shared" si="18"/>
        <v>0.97916666666666741</v>
      </c>
      <c r="B43" s="1">
        <f t="shared" si="1"/>
        <v>1.0000000000000007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O43" s="24">
        <f t="shared" si="32"/>
        <v>0</v>
      </c>
      <c r="P43" s="24">
        <f t="shared" si="32"/>
        <v>0</v>
      </c>
      <c r="Q43" s="24">
        <f t="shared" si="30"/>
        <v>0</v>
      </c>
      <c r="R43" s="25">
        <f t="shared" si="30"/>
        <v>0</v>
      </c>
      <c r="S43" s="25">
        <f t="shared" si="30"/>
        <v>0</v>
      </c>
      <c r="T43" s="25">
        <f t="shared" si="30"/>
        <v>0</v>
      </c>
      <c r="U43" s="25">
        <f t="shared" si="30"/>
        <v>0</v>
      </c>
      <c r="V43" s="25">
        <f t="shared" si="30"/>
        <v>0</v>
      </c>
      <c r="W43" s="25">
        <f t="shared" si="30"/>
        <v>0</v>
      </c>
      <c r="X43" s="25">
        <f t="shared" si="30"/>
        <v>0</v>
      </c>
      <c r="Y43" s="26">
        <f t="shared" si="20"/>
        <v>0</v>
      </c>
      <c r="Z43" s="27">
        <f t="shared" si="21"/>
        <v>0</v>
      </c>
      <c r="AA43" s="27">
        <f t="shared" si="22"/>
        <v>0</v>
      </c>
      <c r="AB43" s="26">
        <f t="shared" si="23"/>
        <v>0</v>
      </c>
      <c r="AC43" s="28">
        <f t="shared" si="33"/>
        <v>0</v>
      </c>
      <c r="AG43" s="66">
        <f t="shared" si="34"/>
        <v>0</v>
      </c>
      <c r="AH43" s="66">
        <f t="shared" si="35"/>
        <v>0</v>
      </c>
      <c r="AI43" s="66">
        <f t="shared" si="36"/>
        <v>0</v>
      </c>
      <c r="AJ43" s="66">
        <f t="shared" si="37"/>
        <v>0</v>
      </c>
      <c r="AK43" s="66">
        <f t="shared" si="38"/>
        <v>0</v>
      </c>
      <c r="AL43" s="66">
        <f t="shared" si="39"/>
        <v>0</v>
      </c>
      <c r="AM43" s="66">
        <f t="shared" si="40"/>
        <v>0</v>
      </c>
      <c r="AN43" s="66">
        <f t="shared" si="41"/>
        <v>0</v>
      </c>
      <c r="AO43" s="66">
        <f t="shared" si="42"/>
        <v>0</v>
      </c>
      <c r="AU43" s="48"/>
      <c r="AV43" s="48"/>
      <c r="AW43" s="48"/>
      <c r="AX43" s="48"/>
      <c r="AY43" s="48"/>
    </row>
    <row r="44" spans="1:51">
      <c r="A44" s="1">
        <f t="shared" si="18"/>
        <v>1.0000000000000007</v>
      </c>
      <c r="B44" s="1">
        <f t="shared" si="1"/>
        <v>1.0208333333333339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O44" s="24">
        <f t="shared" si="32"/>
        <v>0</v>
      </c>
      <c r="P44" s="24">
        <f t="shared" si="32"/>
        <v>0</v>
      </c>
      <c r="Q44" s="24">
        <f t="shared" si="30"/>
        <v>0</v>
      </c>
      <c r="R44" s="25">
        <f t="shared" si="30"/>
        <v>0</v>
      </c>
      <c r="S44" s="25">
        <f t="shared" si="30"/>
        <v>0</v>
      </c>
      <c r="T44" s="25">
        <f t="shared" si="30"/>
        <v>0</v>
      </c>
      <c r="U44" s="25">
        <f t="shared" si="30"/>
        <v>0</v>
      </c>
      <c r="V44" s="25">
        <f t="shared" si="30"/>
        <v>0</v>
      </c>
      <c r="W44" s="25">
        <f t="shared" si="30"/>
        <v>0</v>
      </c>
      <c r="X44" s="25">
        <f t="shared" si="30"/>
        <v>0</v>
      </c>
      <c r="Y44" s="26">
        <f t="shared" si="20"/>
        <v>0</v>
      </c>
      <c r="Z44" s="27">
        <f t="shared" si="21"/>
        <v>0</v>
      </c>
      <c r="AA44" s="27">
        <f t="shared" si="22"/>
        <v>0</v>
      </c>
      <c r="AB44" s="26">
        <f t="shared" si="23"/>
        <v>0</v>
      </c>
      <c r="AC44" s="28">
        <f t="shared" si="33"/>
        <v>0</v>
      </c>
      <c r="AG44" s="66">
        <f t="shared" si="34"/>
        <v>0</v>
      </c>
      <c r="AH44" s="66">
        <f t="shared" si="35"/>
        <v>0</v>
      </c>
      <c r="AI44" s="66">
        <f t="shared" si="36"/>
        <v>0</v>
      </c>
      <c r="AJ44" s="66">
        <f t="shared" si="37"/>
        <v>0</v>
      </c>
      <c r="AK44" s="66">
        <f t="shared" si="38"/>
        <v>0</v>
      </c>
      <c r="AL44" s="66">
        <f t="shared" si="39"/>
        <v>0</v>
      </c>
      <c r="AM44" s="66">
        <f t="shared" si="40"/>
        <v>0</v>
      </c>
      <c r="AN44" s="66">
        <f t="shared" si="41"/>
        <v>0</v>
      </c>
      <c r="AO44" s="66">
        <f t="shared" si="42"/>
        <v>0</v>
      </c>
      <c r="AU44" s="48"/>
      <c r="AV44" s="48"/>
      <c r="AW44" s="48"/>
      <c r="AX44" s="48"/>
      <c r="AY44" s="48"/>
    </row>
    <row r="45" spans="1:51">
      <c r="A45" s="2">
        <f t="shared" si="18"/>
        <v>1.0208333333333339</v>
      </c>
      <c r="B45" s="2">
        <f t="shared" si="1"/>
        <v>1.0416666666666672</v>
      </c>
      <c r="C45" s="19"/>
      <c r="D45" s="19"/>
      <c r="E45" s="20"/>
      <c r="F45" s="20"/>
      <c r="G45" s="20"/>
      <c r="H45" s="20"/>
      <c r="I45" s="20"/>
      <c r="J45" s="20"/>
      <c r="K45" s="20"/>
      <c r="L45" s="20"/>
      <c r="O45" s="29">
        <f t="shared" si="32"/>
        <v>0</v>
      </c>
      <c r="P45" s="29">
        <f t="shared" si="32"/>
        <v>0</v>
      </c>
      <c r="Q45" s="29">
        <f t="shared" si="30"/>
        <v>0</v>
      </c>
      <c r="R45" s="30">
        <f t="shared" si="30"/>
        <v>0</v>
      </c>
      <c r="S45" s="30">
        <f t="shared" si="30"/>
        <v>0</v>
      </c>
      <c r="T45" s="30">
        <f t="shared" si="30"/>
        <v>0</v>
      </c>
      <c r="U45" s="30">
        <f t="shared" si="30"/>
        <v>0</v>
      </c>
      <c r="V45" s="30">
        <f t="shared" si="30"/>
        <v>0</v>
      </c>
      <c r="W45" s="30">
        <f t="shared" si="30"/>
        <v>0</v>
      </c>
      <c r="X45" s="30">
        <f t="shared" si="30"/>
        <v>0</v>
      </c>
      <c r="Y45" s="31">
        <f t="shared" si="20"/>
        <v>0</v>
      </c>
      <c r="Z45" s="32">
        <f t="shared" si="21"/>
        <v>0</v>
      </c>
      <c r="AA45" s="32">
        <f t="shared" si="22"/>
        <v>0</v>
      </c>
      <c r="AB45" s="31">
        <f t="shared" si="23"/>
        <v>0</v>
      </c>
      <c r="AC45" s="33">
        <f t="shared" si="33"/>
        <v>0</v>
      </c>
      <c r="AG45" s="66">
        <f t="shared" si="34"/>
        <v>0</v>
      </c>
      <c r="AH45" s="66">
        <f t="shared" si="35"/>
        <v>0</v>
      </c>
      <c r="AI45" s="66">
        <f t="shared" si="36"/>
        <v>0</v>
      </c>
      <c r="AJ45" s="66">
        <f t="shared" si="37"/>
        <v>0</v>
      </c>
      <c r="AK45" s="66">
        <f t="shared" si="38"/>
        <v>0</v>
      </c>
      <c r="AL45" s="66">
        <f t="shared" si="39"/>
        <v>0</v>
      </c>
      <c r="AM45" s="66">
        <f t="shared" si="40"/>
        <v>0</v>
      </c>
      <c r="AN45" s="66">
        <f t="shared" si="41"/>
        <v>0</v>
      </c>
      <c r="AO45" s="66">
        <f t="shared" si="42"/>
        <v>0</v>
      </c>
      <c r="AU45" s="48"/>
      <c r="AV45" s="48"/>
      <c r="AW45" s="48"/>
      <c r="AX45" s="48"/>
      <c r="AY45" s="48"/>
    </row>
    <row r="46" spans="1:51">
      <c r="A46" s="3">
        <f t="shared" si="18"/>
        <v>1.0416666666666672</v>
      </c>
      <c r="B46" s="3">
        <f t="shared" si="1"/>
        <v>1.0625000000000004</v>
      </c>
      <c r="C46" s="21"/>
      <c r="D46" s="21"/>
      <c r="E46" s="22"/>
      <c r="F46" s="22"/>
      <c r="G46" s="22"/>
      <c r="H46" s="22"/>
      <c r="I46" s="22"/>
      <c r="J46" s="22"/>
      <c r="K46" s="22"/>
      <c r="L46" s="22"/>
      <c r="O46" s="34">
        <f t="shared" si="32"/>
        <v>0</v>
      </c>
      <c r="P46" s="34">
        <f t="shared" si="32"/>
        <v>0</v>
      </c>
      <c r="Q46" s="34">
        <f t="shared" si="30"/>
        <v>0</v>
      </c>
      <c r="R46" s="35">
        <f t="shared" si="30"/>
        <v>0</v>
      </c>
      <c r="S46" s="35">
        <f t="shared" si="30"/>
        <v>0</v>
      </c>
      <c r="T46" s="35">
        <f t="shared" si="30"/>
        <v>0</v>
      </c>
      <c r="U46" s="35">
        <f t="shared" si="30"/>
        <v>0</v>
      </c>
      <c r="V46" s="35">
        <f t="shared" si="30"/>
        <v>0</v>
      </c>
      <c r="W46" s="35">
        <f t="shared" si="30"/>
        <v>0</v>
      </c>
      <c r="X46" s="35">
        <f t="shared" si="30"/>
        <v>0</v>
      </c>
      <c r="Y46" s="36">
        <f t="shared" si="20"/>
        <v>0</v>
      </c>
      <c r="Z46" s="37">
        <f t="shared" si="21"/>
        <v>0</v>
      </c>
      <c r="AA46" s="37">
        <f t="shared" si="22"/>
        <v>0</v>
      </c>
      <c r="AB46" s="36">
        <f t="shared" si="23"/>
        <v>0</v>
      </c>
      <c r="AC46" s="38">
        <f t="shared" si="33"/>
        <v>0</v>
      </c>
      <c r="AG46" s="66">
        <f t="shared" si="34"/>
        <v>0</v>
      </c>
      <c r="AH46" s="66">
        <f t="shared" si="35"/>
        <v>0</v>
      </c>
      <c r="AI46" s="66">
        <f t="shared" si="36"/>
        <v>0</v>
      </c>
      <c r="AJ46" s="66">
        <f t="shared" si="37"/>
        <v>0</v>
      </c>
      <c r="AK46" s="66">
        <f t="shared" si="38"/>
        <v>0</v>
      </c>
      <c r="AL46" s="66">
        <f t="shared" si="39"/>
        <v>0</v>
      </c>
      <c r="AM46" s="66">
        <f t="shared" si="40"/>
        <v>0</v>
      </c>
      <c r="AN46" s="66">
        <f t="shared" si="41"/>
        <v>0</v>
      </c>
      <c r="AO46" s="66">
        <f t="shared" si="42"/>
        <v>0</v>
      </c>
      <c r="AQ46" s="49">
        <f t="shared" ref="AQ46:AY46" si="45">SUM(O46:O49)</f>
        <v>0</v>
      </c>
      <c r="AR46" s="49">
        <f t="shared" si="45"/>
        <v>0</v>
      </c>
      <c r="AS46" s="49">
        <f t="shared" si="45"/>
        <v>0</v>
      </c>
      <c r="AT46" s="49">
        <f t="shared" si="45"/>
        <v>0</v>
      </c>
      <c r="AU46" s="49">
        <f t="shared" si="45"/>
        <v>0</v>
      </c>
      <c r="AV46" s="49">
        <f t="shared" si="45"/>
        <v>0</v>
      </c>
      <c r="AW46" s="49">
        <f t="shared" si="45"/>
        <v>0</v>
      </c>
      <c r="AX46" s="49">
        <f t="shared" si="45"/>
        <v>0</v>
      </c>
      <c r="AY46" s="49">
        <f t="shared" si="45"/>
        <v>0</v>
      </c>
    </row>
    <row r="47" spans="1:51">
      <c r="A47" s="1">
        <f t="shared" si="18"/>
        <v>1.0625000000000004</v>
      </c>
      <c r="B47" s="1">
        <f t="shared" si="1"/>
        <v>1.0833333333333337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O47" s="24">
        <f t="shared" si="32"/>
        <v>0</v>
      </c>
      <c r="P47" s="24">
        <f t="shared" si="32"/>
        <v>0</v>
      </c>
      <c r="Q47" s="24">
        <f t="shared" si="30"/>
        <v>0</v>
      </c>
      <c r="R47" s="25">
        <f t="shared" si="30"/>
        <v>0</v>
      </c>
      <c r="S47" s="25">
        <f t="shared" si="30"/>
        <v>0</v>
      </c>
      <c r="T47" s="25">
        <f t="shared" si="30"/>
        <v>0</v>
      </c>
      <c r="U47" s="25">
        <f t="shared" si="30"/>
        <v>0</v>
      </c>
      <c r="V47" s="25">
        <f t="shared" si="30"/>
        <v>0</v>
      </c>
      <c r="W47" s="25">
        <f t="shared" si="30"/>
        <v>0</v>
      </c>
      <c r="X47" s="25">
        <f t="shared" si="30"/>
        <v>0</v>
      </c>
      <c r="Y47" s="26">
        <f t="shared" si="20"/>
        <v>0</v>
      </c>
      <c r="Z47" s="27">
        <f t="shared" si="21"/>
        <v>0</v>
      </c>
      <c r="AA47" s="27">
        <f t="shared" si="22"/>
        <v>0</v>
      </c>
      <c r="AB47" s="26">
        <f t="shared" si="23"/>
        <v>0</v>
      </c>
      <c r="AC47" s="28">
        <f t="shared" si="33"/>
        <v>0</v>
      </c>
      <c r="AG47" s="66">
        <f t="shared" si="34"/>
        <v>0</v>
      </c>
      <c r="AH47" s="66">
        <f t="shared" si="35"/>
        <v>0</v>
      </c>
      <c r="AI47" s="66">
        <f t="shared" si="36"/>
        <v>0</v>
      </c>
      <c r="AJ47" s="66">
        <f t="shared" si="37"/>
        <v>0</v>
      </c>
      <c r="AK47" s="66">
        <f t="shared" si="38"/>
        <v>0</v>
      </c>
      <c r="AL47" s="66">
        <f t="shared" si="39"/>
        <v>0</v>
      </c>
      <c r="AM47" s="66">
        <f t="shared" si="40"/>
        <v>0</v>
      </c>
      <c r="AN47" s="66">
        <f t="shared" si="41"/>
        <v>0</v>
      </c>
      <c r="AO47" s="66">
        <f t="shared" si="42"/>
        <v>0</v>
      </c>
      <c r="AU47" s="48"/>
      <c r="AV47" s="48"/>
      <c r="AW47" s="48"/>
      <c r="AX47" s="48"/>
      <c r="AY47" s="48"/>
    </row>
    <row r="48" spans="1:51">
      <c r="A48" s="1">
        <f t="shared" si="18"/>
        <v>1.0833333333333337</v>
      </c>
      <c r="B48" s="1">
        <f t="shared" si="1"/>
        <v>1.104166666666667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O48" s="24">
        <f t="shared" si="32"/>
        <v>0</v>
      </c>
      <c r="P48" s="24">
        <f t="shared" si="32"/>
        <v>0</v>
      </c>
      <c r="Q48" s="24">
        <f t="shared" si="30"/>
        <v>0</v>
      </c>
      <c r="R48" s="25">
        <f t="shared" si="30"/>
        <v>0</v>
      </c>
      <c r="S48" s="25">
        <f t="shared" si="30"/>
        <v>0</v>
      </c>
      <c r="T48" s="25">
        <f t="shared" si="30"/>
        <v>0</v>
      </c>
      <c r="U48" s="25">
        <f t="shared" si="30"/>
        <v>0</v>
      </c>
      <c r="V48" s="25">
        <f t="shared" si="30"/>
        <v>0</v>
      </c>
      <c r="W48" s="25">
        <f t="shared" si="30"/>
        <v>0</v>
      </c>
      <c r="X48" s="25">
        <f t="shared" si="30"/>
        <v>0</v>
      </c>
      <c r="Y48" s="26">
        <f t="shared" si="20"/>
        <v>0</v>
      </c>
      <c r="Z48" s="27">
        <f t="shared" si="21"/>
        <v>0</v>
      </c>
      <c r="AA48" s="27">
        <f t="shared" si="22"/>
        <v>0</v>
      </c>
      <c r="AB48" s="26">
        <f t="shared" si="23"/>
        <v>0</v>
      </c>
      <c r="AC48" s="28">
        <f t="shared" si="33"/>
        <v>0</v>
      </c>
      <c r="AG48" s="66">
        <f t="shared" si="34"/>
        <v>0</v>
      </c>
      <c r="AH48" s="66">
        <f t="shared" si="35"/>
        <v>0</v>
      </c>
      <c r="AI48" s="66">
        <f t="shared" si="36"/>
        <v>0</v>
      </c>
      <c r="AJ48" s="66">
        <f t="shared" si="37"/>
        <v>0</v>
      </c>
      <c r="AK48" s="66">
        <f t="shared" si="38"/>
        <v>0</v>
      </c>
      <c r="AL48" s="66">
        <f t="shared" si="39"/>
        <v>0</v>
      </c>
      <c r="AM48" s="66">
        <f t="shared" si="40"/>
        <v>0</v>
      </c>
      <c r="AN48" s="66">
        <f t="shared" si="41"/>
        <v>0</v>
      </c>
      <c r="AO48" s="66">
        <f t="shared" si="42"/>
        <v>0</v>
      </c>
      <c r="AU48" s="48"/>
      <c r="AV48" s="48"/>
      <c r="AW48" s="48"/>
      <c r="AX48" s="48"/>
      <c r="AY48" s="48"/>
    </row>
    <row r="49" spans="1:51">
      <c r="A49" s="2">
        <f t="shared" si="18"/>
        <v>1.104166666666667</v>
      </c>
      <c r="B49" s="2">
        <f t="shared" si="1"/>
        <v>1.1250000000000002</v>
      </c>
      <c r="C49" s="19"/>
      <c r="D49" s="19"/>
      <c r="E49" s="20"/>
      <c r="F49" s="20"/>
      <c r="G49" s="20"/>
      <c r="H49" s="20"/>
      <c r="I49" s="20"/>
      <c r="J49" s="20"/>
      <c r="K49" s="20"/>
      <c r="L49" s="20"/>
      <c r="O49" s="29">
        <f t="shared" si="32"/>
        <v>0</v>
      </c>
      <c r="P49" s="29">
        <f t="shared" si="32"/>
        <v>0</v>
      </c>
      <c r="Q49" s="29">
        <f t="shared" si="30"/>
        <v>0</v>
      </c>
      <c r="R49" s="30">
        <f t="shared" si="30"/>
        <v>0</v>
      </c>
      <c r="S49" s="30">
        <f t="shared" si="30"/>
        <v>0</v>
      </c>
      <c r="T49" s="30">
        <f t="shared" si="30"/>
        <v>0</v>
      </c>
      <c r="U49" s="30">
        <f t="shared" si="30"/>
        <v>0</v>
      </c>
      <c r="V49" s="30">
        <f t="shared" si="30"/>
        <v>0</v>
      </c>
      <c r="W49" s="30">
        <f t="shared" si="30"/>
        <v>0</v>
      </c>
      <c r="X49" s="30">
        <f t="shared" si="30"/>
        <v>0</v>
      </c>
      <c r="Y49" s="31">
        <f t="shared" si="20"/>
        <v>0</v>
      </c>
      <c r="Z49" s="32">
        <f t="shared" si="21"/>
        <v>0</v>
      </c>
      <c r="AA49" s="32">
        <f t="shared" si="22"/>
        <v>0</v>
      </c>
      <c r="AB49" s="31">
        <f t="shared" si="23"/>
        <v>0</v>
      </c>
      <c r="AC49" s="33">
        <f t="shared" si="33"/>
        <v>0</v>
      </c>
      <c r="AG49" s="66">
        <f t="shared" si="34"/>
        <v>0</v>
      </c>
      <c r="AH49" s="66">
        <f t="shared" si="35"/>
        <v>0</v>
      </c>
      <c r="AI49" s="66">
        <f t="shared" si="36"/>
        <v>0</v>
      </c>
      <c r="AJ49" s="66">
        <f t="shared" si="37"/>
        <v>0</v>
      </c>
      <c r="AK49" s="66">
        <f t="shared" si="38"/>
        <v>0</v>
      </c>
      <c r="AL49" s="66">
        <f t="shared" si="39"/>
        <v>0</v>
      </c>
      <c r="AM49" s="66">
        <f t="shared" si="40"/>
        <v>0</v>
      </c>
      <c r="AN49" s="66">
        <f t="shared" si="41"/>
        <v>0</v>
      </c>
      <c r="AO49" s="66">
        <f t="shared" si="42"/>
        <v>0</v>
      </c>
      <c r="AU49" s="48"/>
      <c r="AV49" s="48"/>
      <c r="AW49" s="48"/>
      <c r="AX49" s="48"/>
      <c r="AY49" s="48"/>
    </row>
    <row r="50" spans="1:51">
      <c r="A50" s="3">
        <f t="shared" si="18"/>
        <v>1.1250000000000002</v>
      </c>
      <c r="B50" s="3">
        <f t="shared" si="1"/>
        <v>1.1458333333333335</v>
      </c>
      <c r="C50" s="21"/>
      <c r="D50" s="21"/>
      <c r="E50" s="22"/>
      <c r="F50" s="22"/>
      <c r="G50" s="22"/>
      <c r="H50" s="22"/>
      <c r="I50" s="22"/>
      <c r="J50" s="22"/>
      <c r="K50" s="22"/>
      <c r="L50" s="22"/>
      <c r="O50" s="34">
        <f t="shared" si="32"/>
        <v>0</v>
      </c>
      <c r="P50" s="34">
        <f t="shared" si="32"/>
        <v>0</v>
      </c>
      <c r="Q50" s="34">
        <f t="shared" si="30"/>
        <v>0</v>
      </c>
      <c r="R50" s="35">
        <f t="shared" si="30"/>
        <v>0</v>
      </c>
      <c r="S50" s="35">
        <f t="shared" si="30"/>
        <v>0</v>
      </c>
      <c r="T50" s="35">
        <f t="shared" si="30"/>
        <v>0</v>
      </c>
      <c r="U50" s="35">
        <f t="shared" si="30"/>
        <v>0</v>
      </c>
      <c r="V50" s="35">
        <f t="shared" si="30"/>
        <v>0</v>
      </c>
      <c r="W50" s="35">
        <f t="shared" si="30"/>
        <v>0</v>
      </c>
      <c r="X50" s="35">
        <f t="shared" si="30"/>
        <v>0</v>
      </c>
      <c r="Y50" s="36">
        <f t="shared" si="20"/>
        <v>0</v>
      </c>
      <c r="Z50" s="37">
        <f t="shared" si="21"/>
        <v>0</v>
      </c>
      <c r="AA50" s="37">
        <f t="shared" si="22"/>
        <v>0</v>
      </c>
      <c r="AB50" s="36">
        <f t="shared" si="23"/>
        <v>0</v>
      </c>
      <c r="AC50" s="38">
        <f t="shared" si="33"/>
        <v>0</v>
      </c>
      <c r="AG50" s="66">
        <f t="shared" si="34"/>
        <v>0</v>
      </c>
      <c r="AH50" s="66">
        <f t="shared" si="35"/>
        <v>0</v>
      </c>
      <c r="AI50" s="66">
        <f t="shared" si="36"/>
        <v>0</v>
      </c>
      <c r="AJ50" s="66">
        <f t="shared" si="37"/>
        <v>0</v>
      </c>
      <c r="AK50" s="66">
        <f t="shared" si="38"/>
        <v>0</v>
      </c>
      <c r="AL50" s="66">
        <f t="shared" si="39"/>
        <v>0</v>
      </c>
      <c r="AM50" s="66">
        <f t="shared" si="40"/>
        <v>0</v>
      </c>
      <c r="AN50" s="66">
        <f t="shared" si="41"/>
        <v>0</v>
      </c>
      <c r="AO50" s="66">
        <f t="shared" si="42"/>
        <v>0</v>
      </c>
      <c r="AQ50" s="49">
        <f t="shared" ref="AQ50:AY50" si="46">SUM(O50:O53)</f>
        <v>0</v>
      </c>
      <c r="AR50" s="49">
        <f t="shared" si="46"/>
        <v>0</v>
      </c>
      <c r="AS50" s="49">
        <f t="shared" si="46"/>
        <v>0</v>
      </c>
      <c r="AT50" s="49">
        <f t="shared" si="46"/>
        <v>0</v>
      </c>
      <c r="AU50" s="49">
        <f t="shared" si="46"/>
        <v>0</v>
      </c>
      <c r="AV50" s="49">
        <f t="shared" si="46"/>
        <v>0</v>
      </c>
      <c r="AW50" s="49">
        <f t="shared" si="46"/>
        <v>0</v>
      </c>
      <c r="AX50" s="49">
        <f t="shared" si="46"/>
        <v>0</v>
      </c>
      <c r="AY50" s="49">
        <f t="shared" si="46"/>
        <v>0</v>
      </c>
    </row>
    <row r="51" spans="1:51">
      <c r="A51" s="1">
        <f t="shared" si="18"/>
        <v>1.1458333333333335</v>
      </c>
      <c r="B51" s="1">
        <f t="shared" si="1"/>
        <v>1.1666666666666667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O51" s="24">
        <f t="shared" si="32"/>
        <v>0</v>
      </c>
      <c r="P51" s="24">
        <f t="shared" si="32"/>
        <v>0</v>
      </c>
      <c r="Q51" s="24">
        <f t="shared" si="30"/>
        <v>0</v>
      </c>
      <c r="R51" s="25">
        <f t="shared" si="30"/>
        <v>0</v>
      </c>
      <c r="S51" s="25">
        <f t="shared" si="30"/>
        <v>0</v>
      </c>
      <c r="T51" s="25">
        <f t="shared" si="30"/>
        <v>0</v>
      </c>
      <c r="U51" s="25">
        <f t="shared" si="30"/>
        <v>0</v>
      </c>
      <c r="V51" s="25">
        <f t="shared" si="30"/>
        <v>0</v>
      </c>
      <c r="W51" s="25">
        <f t="shared" si="30"/>
        <v>0</v>
      </c>
      <c r="X51" s="25">
        <f t="shared" si="30"/>
        <v>0</v>
      </c>
      <c r="Y51" s="26">
        <f t="shared" si="20"/>
        <v>0</v>
      </c>
      <c r="Z51" s="27">
        <f t="shared" si="21"/>
        <v>0</v>
      </c>
      <c r="AA51" s="27">
        <f t="shared" si="22"/>
        <v>0</v>
      </c>
      <c r="AB51" s="26">
        <f t="shared" si="23"/>
        <v>0</v>
      </c>
      <c r="AC51" s="28">
        <f t="shared" si="33"/>
        <v>0</v>
      </c>
      <c r="AG51" s="66">
        <f t="shared" si="34"/>
        <v>0</v>
      </c>
      <c r="AH51" s="66">
        <f t="shared" si="35"/>
        <v>0</v>
      </c>
      <c r="AI51" s="66">
        <f t="shared" si="36"/>
        <v>0</v>
      </c>
      <c r="AJ51" s="66">
        <f t="shared" si="37"/>
        <v>0</v>
      </c>
      <c r="AK51" s="66">
        <f t="shared" si="38"/>
        <v>0</v>
      </c>
      <c r="AL51" s="66">
        <f t="shared" si="39"/>
        <v>0</v>
      </c>
      <c r="AM51" s="66">
        <f t="shared" si="40"/>
        <v>0</v>
      </c>
      <c r="AN51" s="66">
        <f t="shared" si="41"/>
        <v>0</v>
      </c>
      <c r="AO51" s="66">
        <f t="shared" si="42"/>
        <v>0</v>
      </c>
      <c r="AU51" s="48"/>
      <c r="AV51" s="48"/>
      <c r="AW51" s="48"/>
      <c r="AX51" s="48"/>
      <c r="AY51" s="48"/>
    </row>
    <row r="52" spans="1:51">
      <c r="A52" s="1">
        <f t="shared" si="18"/>
        <v>1.1666666666666667</v>
      </c>
      <c r="B52" s="1">
        <f t="shared" si="1"/>
        <v>1.1875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O52" s="24">
        <f t="shared" si="32"/>
        <v>0</v>
      </c>
      <c r="P52" s="24">
        <f t="shared" si="32"/>
        <v>0</v>
      </c>
      <c r="Q52" s="24">
        <f t="shared" si="30"/>
        <v>0</v>
      </c>
      <c r="R52" s="25">
        <f t="shared" si="30"/>
        <v>0</v>
      </c>
      <c r="S52" s="25">
        <f t="shared" si="30"/>
        <v>0</v>
      </c>
      <c r="T52" s="25">
        <f t="shared" si="30"/>
        <v>0</v>
      </c>
      <c r="U52" s="25">
        <f t="shared" si="30"/>
        <v>0</v>
      </c>
      <c r="V52" s="25">
        <f t="shared" si="30"/>
        <v>0</v>
      </c>
      <c r="W52" s="25">
        <f t="shared" si="30"/>
        <v>0</v>
      </c>
      <c r="X52" s="25">
        <f t="shared" si="30"/>
        <v>0</v>
      </c>
      <c r="Y52" s="26">
        <f t="shared" si="20"/>
        <v>0</v>
      </c>
      <c r="Z52" s="27">
        <f t="shared" si="21"/>
        <v>0</v>
      </c>
      <c r="AA52" s="27">
        <f t="shared" si="22"/>
        <v>0</v>
      </c>
      <c r="AB52" s="26">
        <f t="shared" si="23"/>
        <v>0</v>
      </c>
      <c r="AC52" s="28">
        <f t="shared" si="33"/>
        <v>0</v>
      </c>
      <c r="AG52" s="66">
        <f t="shared" si="34"/>
        <v>0</v>
      </c>
      <c r="AH52" s="66">
        <f t="shared" si="35"/>
        <v>0</v>
      </c>
      <c r="AI52" s="66">
        <f t="shared" si="36"/>
        <v>0</v>
      </c>
      <c r="AJ52" s="66">
        <f t="shared" si="37"/>
        <v>0</v>
      </c>
      <c r="AK52" s="66">
        <f t="shared" si="38"/>
        <v>0</v>
      </c>
      <c r="AL52" s="66">
        <f t="shared" si="39"/>
        <v>0</v>
      </c>
      <c r="AM52" s="66">
        <f t="shared" si="40"/>
        <v>0</v>
      </c>
      <c r="AN52" s="66">
        <f t="shared" si="41"/>
        <v>0</v>
      </c>
      <c r="AO52" s="66">
        <f t="shared" si="42"/>
        <v>0</v>
      </c>
      <c r="AU52" s="48"/>
      <c r="AV52" s="48"/>
      <c r="AW52" s="48"/>
      <c r="AX52" s="48"/>
      <c r="AY52" s="48"/>
    </row>
    <row r="53" spans="1:51" ht="15.75" thickBot="1">
      <c r="A53" s="4">
        <f t="shared" si="18"/>
        <v>1.1875</v>
      </c>
      <c r="B53" s="4">
        <f t="shared" si="1"/>
        <v>1.2083333333333333</v>
      </c>
      <c r="C53" s="19"/>
      <c r="D53" s="19"/>
      <c r="E53" s="20"/>
      <c r="F53" s="20"/>
      <c r="G53" s="20"/>
      <c r="H53" s="20"/>
      <c r="I53" s="20"/>
      <c r="J53" s="20"/>
      <c r="K53" s="20"/>
      <c r="L53" s="20"/>
      <c r="O53" s="39">
        <f t="shared" si="32"/>
        <v>0</v>
      </c>
      <c r="P53" s="39">
        <f t="shared" si="32"/>
        <v>0</v>
      </c>
      <c r="Q53" s="39">
        <f t="shared" si="30"/>
        <v>0</v>
      </c>
      <c r="R53" s="40">
        <f t="shared" si="30"/>
        <v>0</v>
      </c>
      <c r="S53" s="40">
        <f t="shared" si="30"/>
        <v>0</v>
      </c>
      <c r="T53" s="40">
        <f t="shared" si="30"/>
        <v>0</v>
      </c>
      <c r="U53" s="40">
        <f t="shared" si="30"/>
        <v>0</v>
      </c>
      <c r="V53" s="40">
        <f t="shared" si="30"/>
        <v>0</v>
      </c>
      <c r="W53" s="40">
        <f t="shared" si="30"/>
        <v>0</v>
      </c>
      <c r="X53" s="40">
        <f t="shared" si="30"/>
        <v>0</v>
      </c>
      <c r="Y53" s="41">
        <f t="shared" si="20"/>
        <v>0</v>
      </c>
      <c r="Z53" s="42">
        <f t="shared" si="21"/>
        <v>0</v>
      </c>
      <c r="AA53" s="42">
        <f t="shared" si="22"/>
        <v>0</v>
      </c>
      <c r="AB53" s="41">
        <f t="shared" si="23"/>
        <v>0</v>
      </c>
      <c r="AC53" s="43">
        <f t="shared" si="33"/>
        <v>0</v>
      </c>
      <c r="AG53" s="66">
        <f t="shared" si="34"/>
        <v>0</v>
      </c>
      <c r="AH53" s="66">
        <f t="shared" si="35"/>
        <v>0</v>
      </c>
      <c r="AI53" s="66">
        <f t="shared" si="36"/>
        <v>0</v>
      </c>
      <c r="AJ53" s="66">
        <f t="shared" si="37"/>
        <v>0</v>
      </c>
      <c r="AK53" s="66">
        <f t="shared" si="38"/>
        <v>0</v>
      </c>
      <c r="AL53" s="66">
        <f t="shared" si="39"/>
        <v>0</v>
      </c>
      <c r="AM53" s="66">
        <f t="shared" si="40"/>
        <v>0</v>
      </c>
      <c r="AN53" s="66">
        <f t="shared" si="41"/>
        <v>0</v>
      </c>
      <c r="AO53" s="66">
        <f t="shared" si="42"/>
        <v>0</v>
      </c>
      <c r="AU53" s="48"/>
      <c r="AV53" s="48"/>
      <c r="AW53" s="48"/>
      <c r="AX53" s="48"/>
      <c r="AY53" s="48"/>
    </row>
    <row r="54" spans="1:51">
      <c r="A54" s="3">
        <f t="shared" si="18"/>
        <v>1.2083333333333333</v>
      </c>
      <c r="B54" s="3">
        <f t="shared" si="1"/>
        <v>1.2291666666666665</v>
      </c>
      <c r="C54" s="21"/>
      <c r="D54" s="21"/>
      <c r="E54" s="22"/>
      <c r="F54" s="22"/>
      <c r="G54" s="22"/>
      <c r="H54" s="22"/>
      <c r="I54" s="22"/>
      <c r="J54" s="22"/>
      <c r="K54" s="22"/>
      <c r="L54" s="22"/>
      <c r="O54" s="34">
        <f t="shared" si="32"/>
        <v>0</v>
      </c>
      <c r="P54" s="34">
        <f t="shared" si="32"/>
        <v>0</v>
      </c>
      <c r="Q54" s="34">
        <f t="shared" si="30"/>
        <v>0</v>
      </c>
      <c r="R54" s="35">
        <f t="shared" si="30"/>
        <v>0</v>
      </c>
      <c r="S54" s="35">
        <f t="shared" si="30"/>
        <v>0</v>
      </c>
      <c r="T54" s="35">
        <f t="shared" si="30"/>
        <v>0</v>
      </c>
      <c r="U54" s="35">
        <f t="shared" si="30"/>
        <v>0</v>
      </c>
      <c r="V54" s="35">
        <f t="shared" si="30"/>
        <v>0</v>
      </c>
      <c r="W54" s="35">
        <f t="shared" si="30"/>
        <v>0</v>
      </c>
      <c r="X54" s="35">
        <f t="shared" si="30"/>
        <v>0</v>
      </c>
      <c r="Y54" s="36">
        <f t="shared" si="20"/>
        <v>0</v>
      </c>
      <c r="Z54" s="37">
        <f t="shared" si="21"/>
        <v>0</v>
      </c>
      <c r="AA54" s="37">
        <f t="shared" si="22"/>
        <v>0</v>
      </c>
      <c r="AB54" s="36">
        <f t="shared" si="23"/>
        <v>0</v>
      </c>
      <c r="AC54" s="38">
        <f t="shared" si="33"/>
        <v>0</v>
      </c>
      <c r="AG54" s="66">
        <f t="shared" si="34"/>
        <v>0</v>
      </c>
      <c r="AH54" s="66">
        <f t="shared" si="35"/>
        <v>0</v>
      </c>
      <c r="AI54" s="66">
        <f t="shared" si="36"/>
        <v>0</v>
      </c>
      <c r="AJ54" s="66">
        <f t="shared" si="37"/>
        <v>0</v>
      </c>
      <c r="AK54" s="66">
        <f t="shared" si="38"/>
        <v>0</v>
      </c>
      <c r="AL54" s="66">
        <f t="shared" si="39"/>
        <v>0</v>
      </c>
      <c r="AM54" s="66">
        <f t="shared" si="40"/>
        <v>0</v>
      </c>
      <c r="AN54" s="66">
        <f t="shared" si="41"/>
        <v>0</v>
      </c>
      <c r="AO54" s="66">
        <f t="shared" si="42"/>
        <v>0</v>
      </c>
      <c r="AQ54" s="49">
        <f t="shared" ref="AQ54:AY54" si="47">SUM(O54:O57)</f>
        <v>0</v>
      </c>
      <c r="AR54" s="49">
        <f t="shared" si="47"/>
        <v>0</v>
      </c>
      <c r="AS54" s="49">
        <f t="shared" si="47"/>
        <v>0</v>
      </c>
      <c r="AT54" s="49">
        <f t="shared" si="47"/>
        <v>0</v>
      </c>
      <c r="AU54" s="49">
        <f t="shared" si="47"/>
        <v>0</v>
      </c>
      <c r="AV54" s="49">
        <f t="shared" si="47"/>
        <v>0</v>
      </c>
      <c r="AW54" s="49">
        <f t="shared" si="47"/>
        <v>0</v>
      </c>
      <c r="AX54" s="49">
        <f t="shared" si="47"/>
        <v>0</v>
      </c>
      <c r="AY54" s="49">
        <f t="shared" si="47"/>
        <v>0</v>
      </c>
    </row>
    <row r="55" spans="1:51">
      <c r="A55" s="1">
        <f t="shared" si="18"/>
        <v>1.2291666666666665</v>
      </c>
      <c r="B55" s="1">
        <f t="shared" si="1"/>
        <v>1.2499999999999998</v>
      </c>
      <c r="C55" s="17"/>
      <c r="D55" s="17"/>
      <c r="E55" s="18"/>
      <c r="F55" s="18"/>
      <c r="G55" s="18"/>
      <c r="H55" s="18"/>
      <c r="I55" s="18"/>
      <c r="J55" s="18"/>
      <c r="K55" s="18"/>
      <c r="L55" s="18"/>
      <c r="O55" s="24">
        <f t="shared" si="32"/>
        <v>0</v>
      </c>
      <c r="P55" s="24">
        <f t="shared" si="32"/>
        <v>0</v>
      </c>
      <c r="Q55" s="24">
        <f t="shared" si="30"/>
        <v>0</v>
      </c>
      <c r="R55" s="25">
        <f t="shared" si="30"/>
        <v>0</v>
      </c>
      <c r="S55" s="25">
        <f t="shared" si="30"/>
        <v>0</v>
      </c>
      <c r="T55" s="25">
        <f t="shared" si="30"/>
        <v>0</v>
      </c>
      <c r="U55" s="25">
        <f t="shared" si="30"/>
        <v>0</v>
      </c>
      <c r="V55" s="25">
        <f t="shared" si="30"/>
        <v>0</v>
      </c>
      <c r="W55" s="25">
        <f t="shared" si="30"/>
        <v>0</v>
      </c>
      <c r="X55" s="25">
        <f t="shared" si="30"/>
        <v>0</v>
      </c>
      <c r="Y55" s="26">
        <f t="shared" si="20"/>
        <v>0</v>
      </c>
      <c r="Z55" s="27">
        <f t="shared" si="21"/>
        <v>0</v>
      </c>
      <c r="AA55" s="27">
        <f t="shared" si="22"/>
        <v>0</v>
      </c>
      <c r="AB55" s="26">
        <f t="shared" si="23"/>
        <v>0</v>
      </c>
      <c r="AC55" s="28">
        <f t="shared" si="33"/>
        <v>0</v>
      </c>
      <c r="AG55" s="66">
        <f t="shared" si="34"/>
        <v>0</v>
      </c>
      <c r="AH55" s="66">
        <f t="shared" si="35"/>
        <v>0</v>
      </c>
      <c r="AI55" s="66">
        <f t="shared" si="36"/>
        <v>0</v>
      </c>
      <c r="AJ55" s="66">
        <f t="shared" si="37"/>
        <v>0</v>
      </c>
      <c r="AK55" s="66">
        <f t="shared" si="38"/>
        <v>0</v>
      </c>
      <c r="AL55" s="66">
        <f t="shared" si="39"/>
        <v>0</v>
      </c>
      <c r="AM55" s="66">
        <f t="shared" si="40"/>
        <v>0</v>
      </c>
      <c r="AN55" s="66">
        <f t="shared" si="41"/>
        <v>0</v>
      </c>
      <c r="AO55" s="66">
        <f t="shared" si="42"/>
        <v>0</v>
      </c>
      <c r="AU55" s="48"/>
      <c r="AV55" s="48"/>
      <c r="AW55" s="48"/>
      <c r="AX55" s="48"/>
      <c r="AY55" s="48"/>
    </row>
    <row r="56" spans="1:51">
      <c r="A56" s="1">
        <f t="shared" si="18"/>
        <v>1.2499999999999998</v>
      </c>
      <c r="B56" s="1">
        <f t="shared" si="1"/>
        <v>1.270833333333333</v>
      </c>
      <c r="C56" s="17"/>
      <c r="D56" s="17"/>
      <c r="E56" s="18"/>
      <c r="F56" s="18"/>
      <c r="G56" s="18"/>
      <c r="H56" s="18"/>
      <c r="I56" s="18"/>
      <c r="J56" s="18"/>
      <c r="K56" s="18"/>
      <c r="L56" s="18"/>
      <c r="O56" s="24">
        <f t="shared" si="32"/>
        <v>0</v>
      </c>
      <c r="P56" s="24">
        <f t="shared" si="32"/>
        <v>0</v>
      </c>
      <c r="Q56" s="24">
        <f t="shared" si="30"/>
        <v>0</v>
      </c>
      <c r="R56" s="25">
        <f t="shared" si="30"/>
        <v>0</v>
      </c>
      <c r="S56" s="25">
        <f t="shared" si="30"/>
        <v>0</v>
      </c>
      <c r="T56" s="25">
        <f t="shared" si="30"/>
        <v>0</v>
      </c>
      <c r="U56" s="25">
        <f t="shared" si="30"/>
        <v>0</v>
      </c>
      <c r="V56" s="25">
        <f t="shared" si="30"/>
        <v>0</v>
      </c>
      <c r="W56" s="25">
        <f t="shared" si="30"/>
        <v>0</v>
      </c>
      <c r="X56" s="25">
        <f t="shared" si="30"/>
        <v>0</v>
      </c>
      <c r="Y56" s="26">
        <f t="shared" si="20"/>
        <v>0</v>
      </c>
      <c r="Z56" s="27">
        <f t="shared" si="21"/>
        <v>0</v>
      </c>
      <c r="AA56" s="27">
        <f t="shared" si="22"/>
        <v>0</v>
      </c>
      <c r="AB56" s="26">
        <f t="shared" si="23"/>
        <v>0</v>
      </c>
      <c r="AC56" s="28">
        <f t="shared" si="33"/>
        <v>0</v>
      </c>
      <c r="AG56" s="66">
        <f t="shared" si="34"/>
        <v>0</v>
      </c>
      <c r="AH56" s="66">
        <f t="shared" si="35"/>
        <v>0</v>
      </c>
      <c r="AI56" s="66">
        <f t="shared" si="36"/>
        <v>0</v>
      </c>
      <c r="AJ56" s="66">
        <f t="shared" si="37"/>
        <v>0</v>
      </c>
      <c r="AK56" s="66">
        <f t="shared" si="38"/>
        <v>0</v>
      </c>
      <c r="AL56" s="66">
        <f t="shared" si="39"/>
        <v>0</v>
      </c>
      <c r="AM56" s="66">
        <f t="shared" si="40"/>
        <v>0</v>
      </c>
      <c r="AN56" s="66">
        <f t="shared" si="41"/>
        <v>0</v>
      </c>
      <c r="AO56" s="66">
        <f t="shared" si="42"/>
        <v>0</v>
      </c>
      <c r="AU56" s="48"/>
      <c r="AV56" s="48"/>
      <c r="AW56" s="48"/>
      <c r="AX56" s="48"/>
      <c r="AY56" s="48"/>
    </row>
    <row r="57" spans="1:51">
      <c r="A57" s="2">
        <f t="shared" si="18"/>
        <v>1.270833333333333</v>
      </c>
      <c r="B57" s="2">
        <f t="shared" si="1"/>
        <v>1.2916666666666663</v>
      </c>
      <c r="C57" s="19"/>
      <c r="D57" s="19"/>
      <c r="E57" s="20"/>
      <c r="F57" s="20"/>
      <c r="G57" s="20"/>
      <c r="H57" s="20"/>
      <c r="I57" s="20"/>
      <c r="J57" s="20"/>
      <c r="K57" s="20"/>
      <c r="L57" s="20"/>
      <c r="O57" s="29">
        <f t="shared" si="32"/>
        <v>0</v>
      </c>
      <c r="P57" s="29">
        <f t="shared" si="32"/>
        <v>0</v>
      </c>
      <c r="Q57" s="29">
        <f t="shared" si="30"/>
        <v>0</v>
      </c>
      <c r="R57" s="30">
        <f t="shared" si="30"/>
        <v>0</v>
      </c>
      <c r="S57" s="30">
        <f t="shared" si="30"/>
        <v>0</v>
      </c>
      <c r="T57" s="30">
        <f t="shared" si="30"/>
        <v>0</v>
      </c>
      <c r="U57" s="30">
        <f t="shared" si="30"/>
        <v>0</v>
      </c>
      <c r="V57" s="30">
        <f t="shared" si="30"/>
        <v>0</v>
      </c>
      <c r="W57" s="30">
        <f t="shared" si="30"/>
        <v>0</v>
      </c>
      <c r="X57" s="30">
        <f t="shared" si="30"/>
        <v>0</v>
      </c>
      <c r="Y57" s="31">
        <f t="shared" si="20"/>
        <v>0</v>
      </c>
      <c r="Z57" s="32">
        <f t="shared" si="21"/>
        <v>0</v>
      </c>
      <c r="AA57" s="32">
        <f t="shared" si="22"/>
        <v>0</v>
      </c>
      <c r="AB57" s="31">
        <f t="shared" si="23"/>
        <v>0</v>
      </c>
      <c r="AC57" s="33">
        <f t="shared" si="33"/>
        <v>0</v>
      </c>
      <c r="AG57" s="66">
        <f t="shared" si="34"/>
        <v>0</v>
      </c>
      <c r="AH57" s="66">
        <f t="shared" si="35"/>
        <v>0</v>
      </c>
      <c r="AI57" s="66">
        <f t="shared" si="36"/>
        <v>0</v>
      </c>
      <c r="AJ57" s="66">
        <f t="shared" si="37"/>
        <v>0</v>
      </c>
      <c r="AK57" s="66">
        <f t="shared" si="38"/>
        <v>0</v>
      </c>
      <c r="AL57" s="66">
        <f t="shared" si="39"/>
        <v>0</v>
      </c>
      <c r="AM57" s="66">
        <f t="shared" si="40"/>
        <v>0</v>
      </c>
      <c r="AN57" s="66">
        <f t="shared" si="41"/>
        <v>0</v>
      </c>
      <c r="AO57" s="66">
        <f t="shared" si="42"/>
        <v>0</v>
      </c>
      <c r="AU57" s="48"/>
      <c r="AV57" s="48"/>
      <c r="AW57" s="48"/>
      <c r="AX57" s="48"/>
      <c r="AY57" s="48"/>
    </row>
    <row r="58" spans="1:51">
      <c r="A58" s="3">
        <f t="shared" si="18"/>
        <v>1.2916666666666663</v>
      </c>
      <c r="B58" s="3">
        <f t="shared" si="1"/>
        <v>1.3124999999999996</v>
      </c>
      <c r="C58" s="21"/>
      <c r="D58" s="21"/>
      <c r="E58" s="22"/>
      <c r="F58" s="22"/>
      <c r="G58" s="22"/>
      <c r="H58" s="22"/>
      <c r="I58" s="22"/>
      <c r="J58" s="22"/>
      <c r="K58" s="22"/>
      <c r="L58" s="22"/>
      <c r="O58" s="34">
        <f t="shared" si="32"/>
        <v>0</v>
      </c>
      <c r="P58" s="34">
        <f t="shared" si="32"/>
        <v>0</v>
      </c>
      <c r="Q58" s="34">
        <f t="shared" si="30"/>
        <v>0</v>
      </c>
      <c r="R58" s="35">
        <f t="shared" si="30"/>
        <v>0</v>
      </c>
      <c r="S58" s="35">
        <f t="shared" si="30"/>
        <v>0</v>
      </c>
      <c r="T58" s="35">
        <f t="shared" si="30"/>
        <v>0</v>
      </c>
      <c r="U58" s="35">
        <f t="shared" si="30"/>
        <v>0</v>
      </c>
      <c r="V58" s="35">
        <f t="shared" si="30"/>
        <v>0</v>
      </c>
      <c r="W58" s="35">
        <f t="shared" si="30"/>
        <v>0</v>
      </c>
      <c r="X58" s="35">
        <f t="shared" si="30"/>
        <v>0</v>
      </c>
      <c r="Y58" s="36">
        <f t="shared" si="20"/>
        <v>0</v>
      </c>
      <c r="Z58" s="37">
        <f t="shared" si="21"/>
        <v>0</v>
      </c>
      <c r="AA58" s="37">
        <f t="shared" si="22"/>
        <v>0</v>
      </c>
      <c r="AB58" s="36">
        <f t="shared" si="23"/>
        <v>0</v>
      </c>
      <c r="AC58" s="38">
        <f t="shared" si="33"/>
        <v>0</v>
      </c>
      <c r="AG58" s="66">
        <f t="shared" si="34"/>
        <v>0</v>
      </c>
      <c r="AH58" s="66">
        <f t="shared" si="35"/>
        <v>0</v>
      </c>
      <c r="AI58" s="66">
        <f t="shared" si="36"/>
        <v>0</v>
      </c>
      <c r="AJ58" s="66">
        <f t="shared" si="37"/>
        <v>0</v>
      </c>
      <c r="AK58" s="66">
        <f t="shared" si="38"/>
        <v>0</v>
      </c>
      <c r="AL58" s="66">
        <f t="shared" si="39"/>
        <v>0</v>
      </c>
      <c r="AM58" s="66">
        <f t="shared" si="40"/>
        <v>0</v>
      </c>
      <c r="AN58" s="66">
        <f t="shared" si="41"/>
        <v>0</v>
      </c>
      <c r="AO58" s="66">
        <f t="shared" si="42"/>
        <v>0</v>
      </c>
      <c r="AQ58" s="49">
        <f t="shared" ref="AQ58:AY58" si="48">SUM(O58:O61)</f>
        <v>0</v>
      </c>
      <c r="AR58" s="49">
        <f t="shared" si="48"/>
        <v>0</v>
      </c>
      <c r="AS58" s="49">
        <f t="shared" si="48"/>
        <v>0</v>
      </c>
      <c r="AT58" s="49">
        <f t="shared" si="48"/>
        <v>0</v>
      </c>
      <c r="AU58" s="49">
        <f t="shared" si="48"/>
        <v>0</v>
      </c>
      <c r="AV58" s="49">
        <f t="shared" si="48"/>
        <v>0</v>
      </c>
      <c r="AW58" s="49">
        <f t="shared" si="48"/>
        <v>0</v>
      </c>
      <c r="AX58" s="49">
        <f t="shared" si="48"/>
        <v>0</v>
      </c>
      <c r="AY58" s="49">
        <f t="shared" si="48"/>
        <v>0</v>
      </c>
    </row>
    <row r="59" spans="1:51">
      <c r="A59" s="1">
        <f t="shared" si="18"/>
        <v>1.3124999999999996</v>
      </c>
      <c r="B59" s="1">
        <f t="shared" si="1"/>
        <v>1.3333333333333328</v>
      </c>
      <c r="C59" s="17"/>
      <c r="D59" s="17"/>
      <c r="E59" s="18"/>
      <c r="F59" s="18"/>
      <c r="G59" s="18"/>
      <c r="H59" s="18"/>
      <c r="I59" s="18"/>
      <c r="J59" s="18"/>
      <c r="K59" s="18"/>
      <c r="L59" s="18"/>
      <c r="O59" s="24">
        <f t="shared" si="32"/>
        <v>0</v>
      </c>
      <c r="P59" s="24">
        <f t="shared" si="32"/>
        <v>0</v>
      </c>
      <c r="Q59" s="24">
        <f t="shared" si="30"/>
        <v>0</v>
      </c>
      <c r="R59" s="25">
        <f t="shared" si="30"/>
        <v>0</v>
      </c>
      <c r="S59" s="25">
        <f t="shared" si="30"/>
        <v>0</v>
      </c>
      <c r="T59" s="25">
        <f t="shared" si="30"/>
        <v>0</v>
      </c>
      <c r="U59" s="25">
        <f t="shared" si="30"/>
        <v>0</v>
      </c>
      <c r="V59" s="25">
        <f t="shared" si="30"/>
        <v>0</v>
      </c>
      <c r="W59" s="25">
        <f t="shared" si="30"/>
        <v>0</v>
      </c>
      <c r="X59" s="25">
        <f t="shared" si="30"/>
        <v>0</v>
      </c>
      <c r="Y59" s="26">
        <f t="shared" si="20"/>
        <v>0</v>
      </c>
      <c r="Z59" s="27">
        <f t="shared" si="21"/>
        <v>0</v>
      </c>
      <c r="AA59" s="27">
        <f t="shared" si="22"/>
        <v>0</v>
      </c>
      <c r="AB59" s="26">
        <f t="shared" si="23"/>
        <v>0</v>
      </c>
      <c r="AC59" s="28">
        <f t="shared" si="33"/>
        <v>0</v>
      </c>
      <c r="AG59" s="66">
        <f t="shared" si="34"/>
        <v>0</v>
      </c>
      <c r="AH59" s="66">
        <f t="shared" si="35"/>
        <v>0</v>
      </c>
      <c r="AI59" s="66">
        <f t="shared" si="36"/>
        <v>0</v>
      </c>
      <c r="AJ59" s="66">
        <f t="shared" si="37"/>
        <v>0</v>
      </c>
      <c r="AK59" s="66">
        <f t="shared" si="38"/>
        <v>0</v>
      </c>
      <c r="AL59" s="66">
        <f t="shared" si="39"/>
        <v>0</v>
      </c>
      <c r="AM59" s="66">
        <f t="shared" si="40"/>
        <v>0</v>
      </c>
      <c r="AN59" s="66">
        <f t="shared" si="41"/>
        <v>0</v>
      </c>
      <c r="AO59" s="66">
        <f t="shared" si="42"/>
        <v>0</v>
      </c>
      <c r="AU59" s="48"/>
      <c r="AV59" s="48"/>
      <c r="AW59" s="48"/>
      <c r="AX59" s="48"/>
      <c r="AY59" s="48"/>
    </row>
    <row r="60" spans="1:51">
      <c r="A60" s="1">
        <f t="shared" si="18"/>
        <v>1.3333333333333328</v>
      </c>
      <c r="B60" s="1">
        <f t="shared" si="1"/>
        <v>1.3541666666666661</v>
      </c>
      <c r="C60" s="17"/>
      <c r="D60" s="17"/>
      <c r="E60" s="18"/>
      <c r="F60" s="18"/>
      <c r="G60" s="18"/>
      <c r="H60" s="18"/>
      <c r="I60" s="18"/>
      <c r="J60" s="18"/>
      <c r="K60" s="18"/>
      <c r="L60" s="18"/>
      <c r="O60" s="24">
        <f t="shared" si="32"/>
        <v>0</v>
      </c>
      <c r="P60" s="24">
        <f t="shared" si="32"/>
        <v>0</v>
      </c>
      <c r="Q60" s="24">
        <f t="shared" si="30"/>
        <v>0</v>
      </c>
      <c r="R60" s="25">
        <f t="shared" si="30"/>
        <v>0</v>
      </c>
      <c r="S60" s="25">
        <f t="shared" si="30"/>
        <v>0</v>
      </c>
      <c r="T60" s="25">
        <f t="shared" si="30"/>
        <v>0</v>
      </c>
      <c r="U60" s="25">
        <f t="shared" si="30"/>
        <v>0</v>
      </c>
      <c r="V60" s="25">
        <f t="shared" si="30"/>
        <v>0</v>
      </c>
      <c r="W60" s="25">
        <f t="shared" si="30"/>
        <v>0</v>
      </c>
      <c r="X60" s="25">
        <f t="shared" si="30"/>
        <v>0</v>
      </c>
      <c r="Y60" s="26">
        <f t="shared" si="20"/>
        <v>0</v>
      </c>
      <c r="Z60" s="27">
        <f t="shared" si="21"/>
        <v>0</v>
      </c>
      <c r="AA60" s="27">
        <f t="shared" si="22"/>
        <v>0</v>
      </c>
      <c r="AB60" s="26">
        <f t="shared" si="23"/>
        <v>0</v>
      </c>
      <c r="AC60" s="28">
        <f t="shared" si="33"/>
        <v>0</v>
      </c>
      <c r="AG60" s="66">
        <f t="shared" si="34"/>
        <v>0</v>
      </c>
      <c r="AH60" s="66">
        <f t="shared" si="35"/>
        <v>0</v>
      </c>
      <c r="AI60" s="66">
        <f t="shared" si="36"/>
        <v>0</v>
      </c>
      <c r="AJ60" s="66">
        <f t="shared" si="37"/>
        <v>0</v>
      </c>
      <c r="AK60" s="66">
        <f t="shared" si="38"/>
        <v>0</v>
      </c>
      <c r="AL60" s="66">
        <f t="shared" si="39"/>
        <v>0</v>
      </c>
      <c r="AM60" s="66">
        <f t="shared" si="40"/>
        <v>0</v>
      </c>
      <c r="AN60" s="66">
        <f t="shared" si="41"/>
        <v>0</v>
      </c>
      <c r="AO60" s="66">
        <f t="shared" si="42"/>
        <v>0</v>
      </c>
      <c r="AU60" s="48"/>
      <c r="AV60" s="48"/>
      <c r="AW60" s="48"/>
      <c r="AX60" s="48"/>
      <c r="AY60" s="48"/>
    </row>
    <row r="61" spans="1:51">
      <c r="A61" s="2">
        <f t="shared" si="18"/>
        <v>1.3541666666666661</v>
      </c>
      <c r="B61" s="2">
        <f t="shared" si="1"/>
        <v>1.3749999999999993</v>
      </c>
      <c r="C61" s="19"/>
      <c r="D61" s="19"/>
      <c r="E61" s="20"/>
      <c r="F61" s="20"/>
      <c r="G61" s="20"/>
      <c r="H61" s="20"/>
      <c r="I61" s="20"/>
      <c r="J61" s="20"/>
      <c r="K61" s="20"/>
      <c r="L61" s="20"/>
      <c r="O61" s="29">
        <f t="shared" si="32"/>
        <v>0</v>
      </c>
      <c r="P61" s="29">
        <f t="shared" si="32"/>
        <v>0</v>
      </c>
      <c r="Q61" s="29">
        <f t="shared" si="30"/>
        <v>0</v>
      </c>
      <c r="R61" s="30">
        <f t="shared" si="30"/>
        <v>0</v>
      </c>
      <c r="S61" s="30">
        <f t="shared" si="30"/>
        <v>0</v>
      </c>
      <c r="T61" s="30">
        <f t="shared" si="30"/>
        <v>0</v>
      </c>
      <c r="U61" s="30">
        <f t="shared" si="30"/>
        <v>0</v>
      </c>
      <c r="V61" s="30">
        <f t="shared" si="30"/>
        <v>0</v>
      </c>
      <c r="W61" s="30">
        <f t="shared" si="30"/>
        <v>0</v>
      </c>
      <c r="X61" s="30">
        <f t="shared" si="30"/>
        <v>0</v>
      </c>
      <c r="Y61" s="31">
        <f t="shared" si="20"/>
        <v>0</v>
      </c>
      <c r="Z61" s="32">
        <f t="shared" si="21"/>
        <v>0</v>
      </c>
      <c r="AA61" s="32">
        <f t="shared" si="22"/>
        <v>0</v>
      </c>
      <c r="AB61" s="31">
        <f t="shared" si="23"/>
        <v>0</v>
      </c>
      <c r="AC61" s="33">
        <f t="shared" si="33"/>
        <v>0</v>
      </c>
      <c r="AG61" s="66">
        <f t="shared" si="34"/>
        <v>0</v>
      </c>
      <c r="AH61" s="66">
        <f t="shared" si="35"/>
        <v>0</v>
      </c>
      <c r="AI61" s="66">
        <f t="shared" si="36"/>
        <v>0</v>
      </c>
      <c r="AJ61" s="66">
        <f t="shared" si="37"/>
        <v>0</v>
      </c>
      <c r="AK61" s="66">
        <f t="shared" si="38"/>
        <v>0</v>
      </c>
      <c r="AL61" s="66">
        <f t="shared" si="39"/>
        <v>0</v>
      </c>
      <c r="AM61" s="66">
        <f t="shared" si="40"/>
        <v>0</v>
      </c>
      <c r="AN61" s="66">
        <f t="shared" si="41"/>
        <v>0</v>
      </c>
      <c r="AO61" s="66">
        <f t="shared" si="42"/>
        <v>0</v>
      </c>
      <c r="AU61" s="48"/>
      <c r="AV61" s="48"/>
      <c r="AW61" s="48"/>
      <c r="AX61" s="48"/>
      <c r="AY61" s="48"/>
    </row>
    <row r="62" spans="1:51">
      <c r="A62" s="3">
        <f t="shared" si="18"/>
        <v>1.3749999999999993</v>
      </c>
      <c r="B62" s="3">
        <f t="shared" si="1"/>
        <v>1.3958333333333326</v>
      </c>
      <c r="C62" s="21"/>
      <c r="D62" s="21"/>
      <c r="E62" s="22"/>
      <c r="F62" s="22"/>
      <c r="G62" s="22"/>
      <c r="H62" s="22"/>
      <c r="I62" s="22"/>
      <c r="J62" s="22"/>
      <c r="K62" s="22"/>
      <c r="L62" s="22"/>
      <c r="O62" s="34">
        <f t="shared" si="32"/>
        <v>0</v>
      </c>
      <c r="P62" s="34">
        <f t="shared" si="32"/>
        <v>0</v>
      </c>
      <c r="Q62" s="34">
        <f t="shared" si="30"/>
        <v>0</v>
      </c>
      <c r="R62" s="35">
        <f t="shared" si="30"/>
        <v>0</v>
      </c>
      <c r="S62" s="35">
        <f t="shared" si="30"/>
        <v>0</v>
      </c>
      <c r="T62" s="35">
        <f t="shared" si="30"/>
        <v>0</v>
      </c>
      <c r="U62" s="35">
        <f t="shared" si="30"/>
        <v>0</v>
      </c>
      <c r="V62" s="35">
        <f t="shared" si="30"/>
        <v>0</v>
      </c>
      <c r="W62" s="35">
        <f t="shared" si="30"/>
        <v>0</v>
      </c>
      <c r="X62" s="35">
        <f t="shared" si="30"/>
        <v>0</v>
      </c>
      <c r="Y62" s="36">
        <f t="shared" si="20"/>
        <v>0</v>
      </c>
      <c r="Z62" s="37">
        <f t="shared" si="21"/>
        <v>0</v>
      </c>
      <c r="AA62" s="37">
        <f t="shared" si="22"/>
        <v>0</v>
      </c>
      <c r="AB62" s="36">
        <f t="shared" si="23"/>
        <v>0</v>
      </c>
      <c r="AC62" s="38">
        <f t="shared" si="33"/>
        <v>0</v>
      </c>
      <c r="AG62" s="66">
        <f t="shared" si="34"/>
        <v>0</v>
      </c>
      <c r="AH62" s="66">
        <f t="shared" si="35"/>
        <v>0</v>
      </c>
      <c r="AI62" s="66">
        <f t="shared" si="36"/>
        <v>0</v>
      </c>
      <c r="AJ62" s="66">
        <f t="shared" si="37"/>
        <v>0</v>
      </c>
      <c r="AK62" s="66">
        <f t="shared" si="38"/>
        <v>0</v>
      </c>
      <c r="AL62" s="66">
        <f t="shared" si="39"/>
        <v>0</v>
      </c>
      <c r="AM62" s="66">
        <f t="shared" si="40"/>
        <v>0</v>
      </c>
      <c r="AN62" s="66">
        <f t="shared" si="41"/>
        <v>0</v>
      </c>
      <c r="AO62" s="66">
        <f t="shared" si="42"/>
        <v>0</v>
      </c>
      <c r="AQ62" s="49">
        <f t="shared" ref="AQ62:AY62" si="49">SUM(O62:O65)</f>
        <v>0</v>
      </c>
      <c r="AR62" s="49">
        <f t="shared" si="49"/>
        <v>0</v>
      </c>
      <c r="AS62" s="49">
        <f t="shared" si="49"/>
        <v>0</v>
      </c>
      <c r="AT62" s="49">
        <f t="shared" si="49"/>
        <v>0</v>
      </c>
      <c r="AU62" s="49">
        <f t="shared" si="49"/>
        <v>0</v>
      </c>
      <c r="AV62" s="49">
        <f t="shared" si="49"/>
        <v>0</v>
      </c>
      <c r="AW62" s="49">
        <f t="shared" si="49"/>
        <v>0</v>
      </c>
      <c r="AX62" s="49">
        <f t="shared" si="49"/>
        <v>0</v>
      </c>
      <c r="AY62" s="49">
        <f t="shared" si="49"/>
        <v>0</v>
      </c>
    </row>
    <row r="63" spans="1:51">
      <c r="A63" s="1">
        <f t="shared" si="18"/>
        <v>1.3958333333333326</v>
      </c>
      <c r="B63" s="1">
        <f t="shared" si="1"/>
        <v>1.4166666666666659</v>
      </c>
      <c r="C63" s="17"/>
      <c r="D63" s="17"/>
      <c r="E63" s="18"/>
      <c r="F63" s="18"/>
      <c r="G63" s="18"/>
      <c r="H63" s="18"/>
      <c r="I63" s="18"/>
      <c r="J63" s="18"/>
      <c r="K63" s="18"/>
      <c r="L63" s="18"/>
      <c r="O63" s="24">
        <f t="shared" si="32"/>
        <v>0</v>
      </c>
      <c r="P63" s="24">
        <f t="shared" si="32"/>
        <v>0</v>
      </c>
      <c r="Q63" s="24">
        <f t="shared" si="30"/>
        <v>0</v>
      </c>
      <c r="R63" s="25">
        <f t="shared" si="30"/>
        <v>0</v>
      </c>
      <c r="S63" s="25">
        <f t="shared" si="30"/>
        <v>0</v>
      </c>
      <c r="T63" s="25">
        <f t="shared" si="30"/>
        <v>0</v>
      </c>
      <c r="U63" s="25">
        <f t="shared" si="30"/>
        <v>0</v>
      </c>
      <c r="V63" s="25">
        <f t="shared" si="30"/>
        <v>0</v>
      </c>
      <c r="W63" s="25">
        <f t="shared" si="30"/>
        <v>0</v>
      </c>
      <c r="X63" s="25">
        <f t="shared" si="30"/>
        <v>0</v>
      </c>
      <c r="Y63" s="26">
        <f t="shared" si="20"/>
        <v>0</v>
      </c>
      <c r="Z63" s="27">
        <f t="shared" si="21"/>
        <v>0</v>
      </c>
      <c r="AA63" s="27">
        <f t="shared" si="22"/>
        <v>0</v>
      </c>
      <c r="AB63" s="26">
        <f t="shared" si="23"/>
        <v>0</v>
      </c>
      <c r="AC63" s="28">
        <f t="shared" si="33"/>
        <v>0</v>
      </c>
      <c r="AG63" s="66">
        <f t="shared" si="34"/>
        <v>0</v>
      </c>
      <c r="AH63" s="66">
        <f t="shared" si="35"/>
        <v>0</v>
      </c>
      <c r="AI63" s="66">
        <f t="shared" si="36"/>
        <v>0</v>
      </c>
      <c r="AJ63" s="66">
        <f t="shared" si="37"/>
        <v>0</v>
      </c>
      <c r="AK63" s="66">
        <f t="shared" si="38"/>
        <v>0</v>
      </c>
      <c r="AL63" s="66">
        <f t="shared" si="39"/>
        <v>0</v>
      </c>
      <c r="AM63" s="66">
        <f t="shared" si="40"/>
        <v>0</v>
      </c>
      <c r="AN63" s="66">
        <f t="shared" si="41"/>
        <v>0</v>
      </c>
      <c r="AO63" s="66">
        <f t="shared" si="42"/>
        <v>0</v>
      </c>
      <c r="AU63" s="48"/>
      <c r="AV63" s="48"/>
      <c r="AW63" s="48"/>
      <c r="AX63" s="48"/>
      <c r="AY63" s="48"/>
    </row>
    <row r="64" spans="1:51">
      <c r="A64" s="1">
        <f t="shared" si="18"/>
        <v>1.4166666666666659</v>
      </c>
      <c r="B64" s="1">
        <f t="shared" si="1"/>
        <v>1.4374999999999991</v>
      </c>
      <c r="C64" s="17"/>
      <c r="D64" s="17"/>
      <c r="E64" s="18"/>
      <c r="F64" s="18"/>
      <c r="G64" s="18"/>
      <c r="H64" s="18"/>
      <c r="I64" s="18"/>
      <c r="J64" s="18"/>
      <c r="K64" s="18"/>
      <c r="L64" s="18"/>
      <c r="O64" s="24">
        <f t="shared" si="32"/>
        <v>0</v>
      </c>
      <c r="P64" s="24">
        <f t="shared" si="32"/>
        <v>0</v>
      </c>
      <c r="Q64" s="24">
        <f t="shared" si="30"/>
        <v>0</v>
      </c>
      <c r="R64" s="25">
        <f t="shared" si="30"/>
        <v>0</v>
      </c>
      <c r="S64" s="25">
        <f t="shared" ref="Q64:X65" si="50">G64-G63</f>
        <v>0</v>
      </c>
      <c r="T64" s="25">
        <f t="shared" si="50"/>
        <v>0</v>
      </c>
      <c r="U64" s="25">
        <f t="shared" si="50"/>
        <v>0</v>
      </c>
      <c r="V64" s="25">
        <f t="shared" si="50"/>
        <v>0</v>
      </c>
      <c r="W64" s="25">
        <f t="shared" si="50"/>
        <v>0</v>
      </c>
      <c r="X64" s="25">
        <f t="shared" si="50"/>
        <v>0</v>
      </c>
      <c r="Y64" s="26">
        <f t="shared" si="20"/>
        <v>0</v>
      </c>
      <c r="Z64" s="27">
        <f t="shared" si="21"/>
        <v>0</v>
      </c>
      <c r="AA64" s="27">
        <f t="shared" si="22"/>
        <v>0</v>
      </c>
      <c r="AB64" s="26">
        <f t="shared" si="23"/>
        <v>0</v>
      </c>
      <c r="AC64" s="28">
        <f t="shared" si="33"/>
        <v>0</v>
      </c>
      <c r="AG64" s="66">
        <f t="shared" si="34"/>
        <v>0</v>
      </c>
      <c r="AH64" s="66">
        <f t="shared" si="35"/>
        <v>0</v>
      </c>
      <c r="AI64" s="66">
        <f t="shared" si="36"/>
        <v>0</v>
      </c>
      <c r="AJ64" s="66">
        <f t="shared" si="37"/>
        <v>0</v>
      </c>
      <c r="AK64" s="66">
        <f t="shared" si="38"/>
        <v>0</v>
      </c>
      <c r="AL64" s="66">
        <f t="shared" si="39"/>
        <v>0</v>
      </c>
      <c r="AM64" s="66">
        <f t="shared" si="40"/>
        <v>0</v>
      </c>
      <c r="AN64" s="66">
        <f t="shared" si="41"/>
        <v>0</v>
      </c>
      <c r="AO64" s="66">
        <f t="shared" si="42"/>
        <v>0</v>
      </c>
      <c r="AU64" s="48"/>
      <c r="AV64" s="48"/>
      <c r="AW64" s="48"/>
      <c r="AX64" s="48"/>
      <c r="AY64" s="48"/>
    </row>
    <row r="65" spans="1:51" ht="15.75" thickBot="1">
      <c r="A65" s="4">
        <f t="shared" si="18"/>
        <v>1.4374999999999991</v>
      </c>
      <c r="B65" s="4">
        <f t="shared" si="1"/>
        <v>1.4583333333333324</v>
      </c>
      <c r="C65" s="19"/>
      <c r="D65" s="19"/>
      <c r="E65" s="20"/>
      <c r="F65" s="20"/>
      <c r="G65" s="20"/>
      <c r="H65" s="20"/>
      <c r="I65" s="20"/>
      <c r="J65" s="20"/>
      <c r="K65" s="20"/>
      <c r="L65" s="20"/>
      <c r="O65" s="39">
        <f t="shared" si="32"/>
        <v>0</v>
      </c>
      <c r="P65" s="39">
        <f t="shared" si="32"/>
        <v>0</v>
      </c>
      <c r="Q65" s="39">
        <f t="shared" si="50"/>
        <v>0</v>
      </c>
      <c r="R65" s="40">
        <f t="shared" si="50"/>
        <v>0</v>
      </c>
      <c r="S65" s="40">
        <f t="shared" si="50"/>
        <v>0</v>
      </c>
      <c r="T65" s="40">
        <f t="shared" si="50"/>
        <v>0</v>
      </c>
      <c r="U65" s="40">
        <f t="shared" si="50"/>
        <v>0</v>
      </c>
      <c r="V65" s="40">
        <f t="shared" si="50"/>
        <v>0</v>
      </c>
      <c r="W65" s="40">
        <f t="shared" si="50"/>
        <v>0</v>
      </c>
      <c r="X65" s="40">
        <f t="shared" si="50"/>
        <v>0</v>
      </c>
      <c r="Y65" s="41">
        <f t="shared" si="20"/>
        <v>0</v>
      </c>
      <c r="Z65" s="42">
        <f t="shared" si="21"/>
        <v>0</v>
      </c>
      <c r="AA65" s="42">
        <f t="shared" si="22"/>
        <v>0</v>
      </c>
      <c r="AB65" s="41">
        <f t="shared" si="23"/>
        <v>0</v>
      </c>
      <c r="AC65" s="43">
        <f t="shared" si="33"/>
        <v>0</v>
      </c>
      <c r="AG65" s="66">
        <f t="shared" si="34"/>
        <v>0</v>
      </c>
      <c r="AH65" s="66">
        <f t="shared" si="35"/>
        <v>0</v>
      </c>
      <c r="AI65" s="66">
        <f t="shared" si="36"/>
        <v>0</v>
      </c>
      <c r="AJ65" s="66">
        <f t="shared" si="37"/>
        <v>0</v>
      </c>
      <c r="AK65" s="66">
        <f t="shared" si="38"/>
        <v>0</v>
      </c>
      <c r="AL65" s="66">
        <f t="shared" si="39"/>
        <v>0</v>
      </c>
      <c r="AM65" s="66">
        <f t="shared" si="40"/>
        <v>0</v>
      </c>
      <c r="AN65" s="66">
        <f t="shared" si="41"/>
        <v>0</v>
      </c>
      <c r="AO65" s="66">
        <f t="shared" si="42"/>
        <v>0</v>
      </c>
      <c r="AU65" s="48"/>
      <c r="AV65" s="48"/>
      <c r="AW65" s="48"/>
      <c r="AX65" s="48"/>
      <c r="AY65" s="48"/>
    </row>
    <row r="66" spans="1:51" s="46" customFormat="1">
      <c r="AD66" s="46" t="s">
        <v>18</v>
      </c>
      <c r="AG66" s="48"/>
      <c r="AH66" s="48"/>
      <c r="AI66" s="48"/>
      <c r="AJ66" s="48"/>
      <c r="AK66" s="48"/>
      <c r="AL66" s="48"/>
      <c r="AM66" s="48"/>
      <c r="AN66" s="48"/>
      <c r="AO66" s="48"/>
    </row>
    <row r="67" spans="1:51" s="46" customFormat="1" ht="18">
      <c r="A67" s="45" t="s">
        <v>11</v>
      </c>
      <c r="AD67" s="70" t="s">
        <v>22</v>
      </c>
      <c r="AG67" s="48"/>
      <c r="AH67" s="48"/>
      <c r="AI67" s="48"/>
      <c r="AJ67" s="48"/>
      <c r="AK67" s="48"/>
      <c r="AL67" s="48"/>
      <c r="AM67" s="48"/>
      <c r="AN67" s="48"/>
      <c r="AO67" s="48"/>
    </row>
    <row r="68" spans="1:51">
      <c r="A68" s="3">
        <v>0.29166666666666674</v>
      </c>
      <c r="B68" s="3">
        <v>0.33333333333333348</v>
      </c>
      <c r="C68" s="21"/>
      <c r="D68" s="21"/>
      <c r="E68" s="22"/>
      <c r="F68" s="22"/>
      <c r="G68" s="22"/>
      <c r="H68" s="22"/>
      <c r="I68" s="22"/>
      <c r="J68" s="22"/>
      <c r="K68" s="22"/>
      <c r="L68" s="22"/>
      <c r="O68" s="34">
        <f>SUM(O10:O11)</f>
        <v>373</v>
      </c>
      <c r="P68" s="34">
        <f t="shared" ref="P68:X68" si="51">SUM(P10:P11)</f>
        <v>1222</v>
      </c>
      <c r="Q68" s="34">
        <f t="shared" si="51"/>
        <v>336</v>
      </c>
      <c r="R68" s="35">
        <f t="shared" si="51"/>
        <v>108</v>
      </c>
      <c r="S68" s="35">
        <f t="shared" si="51"/>
        <v>11</v>
      </c>
      <c r="T68" s="35">
        <f t="shared" si="51"/>
        <v>1</v>
      </c>
      <c r="U68" s="35">
        <f t="shared" si="51"/>
        <v>5</v>
      </c>
      <c r="V68" s="35">
        <f t="shared" si="51"/>
        <v>45</v>
      </c>
      <c r="W68" s="35">
        <f t="shared" si="51"/>
        <v>10</v>
      </c>
      <c r="X68" s="35">
        <f t="shared" si="51"/>
        <v>0</v>
      </c>
      <c r="Y68" s="36">
        <f t="shared" ref="Y68:Y82" si="52">O68+Q68+R68</f>
        <v>817</v>
      </c>
      <c r="Z68" s="37">
        <f t="shared" ref="Z68:Z82" si="53">S68+T68+U68+P68</f>
        <v>1239</v>
      </c>
      <c r="AA68" s="37">
        <f t="shared" ref="AA68:AA82" si="54">V68+W68</f>
        <v>55</v>
      </c>
      <c r="AB68" s="36">
        <f t="shared" ref="AB68:AB82" si="55">SUM(O68:W68)</f>
        <v>2111</v>
      </c>
      <c r="AC68" s="38">
        <f t="shared" ref="AC68:AC82" si="56">SUM(AG68:AO68)</f>
        <v>1356.5</v>
      </c>
      <c r="AD68" s="50">
        <f t="shared" ref="AD68:AE83" si="57">AB68/AB$83</f>
        <v>0.12361656028576448</v>
      </c>
      <c r="AE68" s="50">
        <f t="shared" si="57"/>
        <v>0.1149186716367333</v>
      </c>
      <c r="AG68" s="48">
        <f>O68*O$8</f>
        <v>186.5</v>
      </c>
      <c r="AH68" s="48">
        <f t="shared" ref="AG68:AO72" si="58">P68*P$8</f>
        <v>611</v>
      </c>
      <c r="AI68" s="48">
        <f t="shared" si="58"/>
        <v>336</v>
      </c>
      <c r="AJ68" s="48">
        <f t="shared" si="58"/>
        <v>108</v>
      </c>
      <c r="AK68" s="48">
        <f t="shared" si="58"/>
        <v>11</v>
      </c>
      <c r="AL68" s="48">
        <f t="shared" si="58"/>
        <v>1.5</v>
      </c>
      <c r="AM68" s="48">
        <f t="shared" si="58"/>
        <v>10</v>
      </c>
      <c r="AN68" s="48">
        <f t="shared" si="58"/>
        <v>67.5</v>
      </c>
      <c r="AO68" s="48">
        <f t="shared" si="58"/>
        <v>25</v>
      </c>
      <c r="AQ68" s="50"/>
    </row>
    <row r="69" spans="1:51">
      <c r="A69" s="3">
        <v>0.33333333333333348</v>
      </c>
      <c r="B69" s="3">
        <v>0.37500000000000022</v>
      </c>
      <c r="C69" s="21"/>
      <c r="D69" s="21"/>
      <c r="E69" s="22"/>
      <c r="F69" s="22"/>
      <c r="G69" s="22"/>
      <c r="H69" s="22"/>
      <c r="I69" s="22"/>
      <c r="J69" s="22"/>
      <c r="K69" s="22"/>
      <c r="L69" s="22"/>
      <c r="O69" s="34">
        <f>SUM(O12:O13)</f>
        <v>253</v>
      </c>
      <c r="P69" s="34">
        <f t="shared" ref="P69:X69" si="59">SUM(P12:P13)</f>
        <v>809</v>
      </c>
      <c r="Q69" s="34">
        <f t="shared" si="59"/>
        <v>225</v>
      </c>
      <c r="R69" s="35">
        <f t="shared" si="59"/>
        <v>93</v>
      </c>
      <c r="S69" s="35">
        <f t="shared" si="59"/>
        <v>5</v>
      </c>
      <c r="T69" s="35">
        <f t="shared" si="59"/>
        <v>1</v>
      </c>
      <c r="U69" s="35">
        <f t="shared" si="59"/>
        <v>13</v>
      </c>
      <c r="V69" s="35">
        <f t="shared" si="59"/>
        <v>32</v>
      </c>
      <c r="W69" s="35">
        <f t="shared" si="59"/>
        <v>4</v>
      </c>
      <c r="X69" s="35">
        <f>SUM(X12:X13)</f>
        <v>0</v>
      </c>
      <c r="Y69" s="36">
        <f t="shared" si="52"/>
        <v>571</v>
      </c>
      <c r="Z69" s="37">
        <f t="shared" si="53"/>
        <v>828</v>
      </c>
      <c r="AA69" s="37">
        <f t="shared" si="54"/>
        <v>36</v>
      </c>
      <c r="AB69" s="36">
        <f t="shared" si="55"/>
        <v>1435</v>
      </c>
      <c r="AC69" s="38">
        <f t="shared" si="56"/>
        <v>939.5</v>
      </c>
      <c r="AD69" s="50">
        <f t="shared" si="57"/>
        <v>8.4031153012824267E-2</v>
      </c>
      <c r="AE69" s="50">
        <f t="shared" si="57"/>
        <v>7.959166384276517E-2</v>
      </c>
      <c r="AG69" s="48">
        <f t="shared" si="58"/>
        <v>126.5</v>
      </c>
      <c r="AH69" s="48">
        <f t="shared" si="58"/>
        <v>404.5</v>
      </c>
      <c r="AI69" s="48">
        <f t="shared" si="58"/>
        <v>225</v>
      </c>
      <c r="AJ69" s="48">
        <f t="shared" si="58"/>
        <v>93</v>
      </c>
      <c r="AK69" s="48">
        <f t="shared" si="58"/>
        <v>5</v>
      </c>
      <c r="AL69" s="48">
        <f t="shared" si="58"/>
        <v>1.5</v>
      </c>
      <c r="AM69" s="48">
        <f t="shared" si="58"/>
        <v>26</v>
      </c>
      <c r="AN69" s="48">
        <f t="shared" si="58"/>
        <v>48</v>
      </c>
      <c r="AO69" s="48">
        <f t="shared" si="58"/>
        <v>10</v>
      </c>
      <c r="AQ69" s="50"/>
    </row>
    <row r="70" spans="1:51">
      <c r="A70" s="3">
        <v>0.37500000000000022</v>
      </c>
      <c r="B70" s="3">
        <v>0.41666666666666696</v>
      </c>
      <c r="C70" s="21"/>
      <c r="D70" s="21"/>
      <c r="E70" s="22"/>
      <c r="F70" s="22"/>
      <c r="G70" s="22"/>
      <c r="H70" s="22"/>
      <c r="I70" s="22"/>
      <c r="J70" s="22"/>
      <c r="K70" s="22"/>
      <c r="L70" s="22"/>
      <c r="O70" s="34">
        <f>SUM(O14:O15)</f>
        <v>247</v>
      </c>
      <c r="P70" s="34">
        <f t="shared" ref="P70:X70" si="60">SUM(P14:P15)</f>
        <v>538</v>
      </c>
      <c r="Q70" s="34">
        <f t="shared" si="60"/>
        <v>215</v>
      </c>
      <c r="R70" s="35">
        <f t="shared" si="60"/>
        <v>75</v>
      </c>
      <c r="S70" s="35">
        <f t="shared" si="60"/>
        <v>5</v>
      </c>
      <c r="T70" s="35">
        <f t="shared" si="60"/>
        <v>0</v>
      </c>
      <c r="U70" s="35">
        <f t="shared" si="60"/>
        <v>23</v>
      </c>
      <c r="V70" s="35">
        <f t="shared" si="60"/>
        <v>35</v>
      </c>
      <c r="W70" s="35">
        <f t="shared" si="60"/>
        <v>13</v>
      </c>
      <c r="X70" s="35">
        <f t="shared" si="60"/>
        <v>0</v>
      </c>
      <c r="Y70" s="36">
        <f t="shared" si="52"/>
        <v>537</v>
      </c>
      <c r="Z70" s="37">
        <f t="shared" si="53"/>
        <v>566</v>
      </c>
      <c r="AA70" s="37">
        <f t="shared" si="54"/>
        <v>48</v>
      </c>
      <c r="AB70" s="36">
        <f t="shared" si="55"/>
        <v>1151</v>
      </c>
      <c r="AC70" s="38">
        <f t="shared" si="56"/>
        <v>818.5</v>
      </c>
      <c r="AD70" s="50">
        <f t="shared" si="57"/>
        <v>6.7400597294606776E-2</v>
      </c>
      <c r="AE70" s="50">
        <f t="shared" si="57"/>
        <v>6.9340901389359541E-2</v>
      </c>
      <c r="AG70" s="48">
        <f t="shared" si="58"/>
        <v>123.5</v>
      </c>
      <c r="AH70" s="48">
        <f t="shared" si="58"/>
        <v>269</v>
      </c>
      <c r="AI70" s="48">
        <f t="shared" si="58"/>
        <v>215</v>
      </c>
      <c r="AJ70" s="48">
        <f t="shared" si="58"/>
        <v>75</v>
      </c>
      <c r="AK70" s="48">
        <f t="shared" si="58"/>
        <v>5</v>
      </c>
      <c r="AL70" s="48">
        <f t="shared" si="58"/>
        <v>0</v>
      </c>
      <c r="AM70" s="48">
        <f t="shared" si="58"/>
        <v>46</v>
      </c>
      <c r="AN70" s="48">
        <f t="shared" si="58"/>
        <v>52.5</v>
      </c>
      <c r="AO70" s="48">
        <f t="shared" si="58"/>
        <v>32.5</v>
      </c>
      <c r="AQ70" s="50"/>
    </row>
    <row r="71" spans="1:51">
      <c r="A71" s="3">
        <v>0.41666666666666696</v>
      </c>
      <c r="B71" s="3">
        <v>0.4583333333333337</v>
      </c>
      <c r="C71" s="21"/>
      <c r="D71" s="21"/>
      <c r="E71" s="22"/>
      <c r="F71" s="22"/>
      <c r="G71" s="22"/>
      <c r="H71" s="22"/>
      <c r="I71" s="22"/>
      <c r="J71" s="22"/>
      <c r="K71" s="22"/>
      <c r="L71" s="22"/>
      <c r="O71" s="34">
        <f>SUM(O16:O17)</f>
        <v>242</v>
      </c>
      <c r="P71" s="34">
        <f t="shared" ref="P71:X71" si="61">SUM(P16:P17)</f>
        <v>469</v>
      </c>
      <c r="Q71" s="34">
        <f t="shared" si="61"/>
        <v>182</v>
      </c>
      <c r="R71" s="35">
        <f t="shared" si="61"/>
        <v>64</v>
      </c>
      <c r="S71" s="35">
        <f t="shared" si="61"/>
        <v>6</v>
      </c>
      <c r="T71" s="35">
        <f t="shared" si="61"/>
        <v>2</v>
      </c>
      <c r="U71" s="35">
        <f t="shared" si="61"/>
        <v>27</v>
      </c>
      <c r="V71" s="35">
        <f t="shared" si="61"/>
        <v>28</v>
      </c>
      <c r="W71" s="35">
        <f t="shared" si="61"/>
        <v>14</v>
      </c>
      <c r="X71" s="35">
        <f t="shared" si="61"/>
        <v>0</v>
      </c>
      <c r="Y71" s="36">
        <f t="shared" si="52"/>
        <v>488</v>
      </c>
      <c r="Z71" s="37">
        <f t="shared" si="53"/>
        <v>504</v>
      </c>
      <c r="AA71" s="37">
        <f t="shared" si="54"/>
        <v>42</v>
      </c>
      <c r="AB71" s="36">
        <f t="shared" si="55"/>
        <v>1034</v>
      </c>
      <c r="AC71" s="38">
        <f t="shared" si="56"/>
        <v>741.5</v>
      </c>
      <c r="AD71" s="50">
        <f t="shared" si="57"/>
        <v>6.0549276805059435E-2</v>
      </c>
      <c r="AE71" s="50">
        <f t="shared" si="57"/>
        <v>6.2817688919010503E-2</v>
      </c>
      <c r="AG71" s="48">
        <f t="shared" si="58"/>
        <v>121</v>
      </c>
      <c r="AH71" s="48">
        <f t="shared" si="58"/>
        <v>234.5</v>
      </c>
      <c r="AI71" s="48">
        <f t="shared" si="58"/>
        <v>182</v>
      </c>
      <c r="AJ71" s="48">
        <f t="shared" si="58"/>
        <v>64</v>
      </c>
      <c r="AK71" s="48">
        <f t="shared" si="58"/>
        <v>6</v>
      </c>
      <c r="AL71" s="48">
        <f t="shared" si="58"/>
        <v>3</v>
      </c>
      <c r="AM71" s="48">
        <f t="shared" si="58"/>
        <v>54</v>
      </c>
      <c r="AN71" s="48">
        <f t="shared" si="58"/>
        <v>42</v>
      </c>
      <c r="AO71" s="48">
        <f t="shared" si="58"/>
        <v>35</v>
      </c>
      <c r="AQ71" s="50"/>
    </row>
    <row r="72" spans="1:51">
      <c r="A72" s="3">
        <v>0.4583333333333337</v>
      </c>
      <c r="B72" s="3">
        <v>0.50000000000000044</v>
      </c>
      <c r="C72" s="21"/>
      <c r="D72" s="21"/>
      <c r="E72" s="22"/>
      <c r="F72" s="22"/>
      <c r="G72" s="22"/>
      <c r="H72" s="22"/>
      <c r="I72" s="22"/>
      <c r="J72" s="22"/>
      <c r="K72" s="22"/>
      <c r="L72" s="22"/>
      <c r="O72" s="34">
        <f>SUM(O18:O19)</f>
        <v>282</v>
      </c>
      <c r="P72" s="34">
        <f t="shared" ref="P72:X72" si="62">SUM(P18:P19)</f>
        <v>383</v>
      </c>
      <c r="Q72" s="34">
        <f t="shared" si="62"/>
        <v>208</v>
      </c>
      <c r="R72" s="35">
        <f t="shared" si="62"/>
        <v>68</v>
      </c>
      <c r="S72" s="35">
        <f t="shared" si="62"/>
        <v>5</v>
      </c>
      <c r="T72" s="35">
        <f t="shared" si="62"/>
        <v>2</v>
      </c>
      <c r="U72" s="35">
        <f t="shared" si="62"/>
        <v>20</v>
      </c>
      <c r="V72" s="35">
        <f t="shared" si="62"/>
        <v>52</v>
      </c>
      <c r="W72" s="35">
        <f t="shared" si="62"/>
        <v>12</v>
      </c>
      <c r="X72" s="35">
        <f t="shared" si="62"/>
        <v>0</v>
      </c>
      <c r="Y72" s="36">
        <f t="shared" si="52"/>
        <v>558</v>
      </c>
      <c r="Z72" s="37">
        <f t="shared" si="53"/>
        <v>410</v>
      </c>
      <c r="AA72" s="37">
        <f t="shared" si="54"/>
        <v>64</v>
      </c>
      <c r="AB72" s="36">
        <f t="shared" si="55"/>
        <v>1032</v>
      </c>
      <c r="AC72" s="38">
        <f t="shared" si="56"/>
        <v>764.5</v>
      </c>
      <c r="AD72" s="50">
        <f t="shared" si="57"/>
        <v>6.0432160215494524E-2</v>
      </c>
      <c r="AE72" s="50">
        <f t="shared" si="57"/>
        <v>6.4766180955608266E-2</v>
      </c>
      <c r="AG72" s="48">
        <f t="shared" si="58"/>
        <v>141</v>
      </c>
      <c r="AH72" s="48">
        <f t="shared" si="58"/>
        <v>191.5</v>
      </c>
      <c r="AI72" s="48">
        <f t="shared" si="58"/>
        <v>208</v>
      </c>
      <c r="AJ72" s="48">
        <f t="shared" si="58"/>
        <v>68</v>
      </c>
      <c r="AK72" s="48">
        <f t="shared" si="58"/>
        <v>5</v>
      </c>
      <c r="AL72" s="48">
        <f t="shared" si="58"/>
        <v>3</v>
      </c>
      <c r="AM72" s="48">
        <f t="shared" si="58"/>
        <v>40</v>
      </c>
      <c r="AN72" s="48">
        <f t="shared" si="58"/>
        <v>78</v>
      </c>
      <c r="AO72" s="48">
        <f t="shared" si="58"/>
        <v>30</v>
      </c>
      <c r="AQ72" s="50"/>
    </row>
    <row r="73" spans="1:51">
      <c r="A73" s="3">
        <v>0.50000000000000044</v>
      </c>
      <c r="B73" s="3">
        <v>0.54166666666666696</v>
      </c>
      <c r="C73" s="21"/>
      <c r="D73" s="21"/>
      <c r="E73" s="22"/>
      <c r="F73" s="22"/>
      <c r="G73" s="22"/>
      <c r="H73" s="22"/>
      <c r="I73" s="22"/>
      <c r="J73" s="22"/>
      <c r="K73" s="22"/>
      <c r="L73" s="22"/>
      <c r="O73" s="34">
        <f>SUM(O20:O21)</f>
        <v>239</v>
      </c>
      <c r="P73" s="34">
        <f t="shared" ref="P73:X73" si="63">SUM(P20:P21)</f>
        <v>494</v>
      </c>
      <c r="Q73" s="34">
        <f t="shared" si="63"/>
        <v>312</v>
      </c>
      <c r="R73" s="35">
        <f t="shared" si="63"/>
        <v>73</v>
      </c>
      <c r="S73" s="35">
        <f t="shared" si="63"/>
        <v>8</v>
      </c>
      <c r="T73" s="35">
        <f t="shared" si="63"/>
        <v>3</v>
      </c>
      <c r="U73" s="35">
        <f t="shared" si="63"/>
        <v>10</v>
      </c>
      <c r="V73" s="35">
        <f t="shared" si="63"/>
        <v>133</v>
      </c>
      <c r="W73" s="35">
        <f t="shared" si="63"/>
        <v>9</v>
      </c>
      <c r="X73" s="35">
        <f t="shared" si="63"/>
        <v>0</v>
      </c>
      <c r="Y73" s="36">
        <f t="shared" si="52"/>
        <v>624</v>
      </c>
      <c r="Z73" s="37">
        <f t="shared" si="53"/>
        <v>515</v>
      </c>
      <c r="AA73" s="37">
        <f t="shared" si="54"/>
        <v>142</v>
      </c>
      <c r="AB73" s="36">
        <f t="shared" si="55"/>
        <v>1281</v>
      </c>
      <c r="AC73" s="38">
        <f t="shared" si="56"/>
        <v>1006</v>
      </c>
      <c r="AD73" s="50">
        <f t="shared" si="57"/>
        <v>7.5013175616326047E-2</v>
      </c>
      <c r="AE73" s="50">
        <f t="shared" si="57"/>
        <v>8.522534733988478E-2</v>
      </c>
      <c r="AG73" s="48">
        <f t="shared" ref="AG73:AO82" si="64">O73*O$8</f>
        <v>119.5</v>
      </c>
      <c r="AH73" s="48">
        <f t="shared" si="64"/>
        <v>247</v>
      </c>
      <c r="AI73" s="48">
        <f t="shared" si="64"/>
        <v>312</v>
      </c>
      <c r="AJ73" s="48">
        <f t="shared" si="64"/>
        <v>73</v>
      </c>
      <c r="AK73" s="48">
        <f t="shared" si="64"/>
        <v>8</v>
      </c>
      <c r="AL73" s="48">
        <f t="shared" si="64"/>
        <v>4.5</v>
      </c>
      <c r="AM73" s="48">
        <f t="shared" si="64"/>
        <v>20</v>
      </c>
      <c r="AN73" s="48">
        <f t="shared" si="64"/>
        <v>199.5</v>
      </c>
      <c r="AO73" s="48">
        <f t="shared" si="64"/>
        <v>22.5</v>
      </c>
      <c r="AQ73" s="50"/>
    </row>
    <row r="74" spans="1:51">
      <c r="A74" s="3">
        <v>0.54166666666666696</v>
      </c>
      <c r="B74" s="3">
        <v>0.58333333333333348</v>
      </c>
      <c r="C74" s="21"/>
      <c r="D74" s="21"/>
      <c r="E74" s="22"/>
      <c r="F74" s="22"/>
      <c r="G74" s="22"/>
      <c r="H74" s="22"/>
      <c r="I74" s="22"/>
      <c r="J74" s="22"/>
      <c r="K74" s="22"/>
      <c r="L74" s="22"/>
      <c r="O74" s="34">
        <f>SUM(O22:O23)</f>
        <v>277</v>
      </c>
      <c r="P74" s="34">
        <f t="shared" ref="P74:X74" si="65">SUM(P22:P23)</f>
        <v>522</v>
      </c>
      <c r="Q74" s="34">
        <f>SUM(Q22:Q23)</f>
        <v>207</v>
      </c>
      <c r="R74" s="35">
        <f t="shared" si="65"/>
        <v>63</v>
      </c>
      <c r="S74" s="35">
        <f t="shared" si="65"/>
        <v>11</v>
      </c>
      <c r="T74" s="35">
        <f t="shared" si="65"/>
        <v>0</v>
      </c>
      <c r="U74" s="35">
        <f t="shared" si="65"/>
        <v>34</v>
      </c>
      <c r="V74" s="35">
        <f t="shared" si="65"/>
        <v>23</v>
      </c>
      <c r="W74" s="35">
        <f t="shared" si="65"/>
        <v>8</v>
      </c>
      <c r="X74" s="35">
        <f t="shared" si="65"/>
        <v>0</v>
      </c>
      <c r="Y74" s="36">
        <f t="shared" si="52"/>
        <v>547</v>
      </c>
      <c r="Z74" s="37">
        <f t="shared" si="53"/>
        <v>567</v>
      </c>
      <c r="AA74" s="37">
        <f t="shared" si="54"/>
        <v>31</v>
      </c>
      <c r="AB74" s="36">
        <f t="shared" si="55"/>
        <v>1145</v>
      </c>
      <c r="AC74" s="38">
        <f t="shared" si="56"/>
        <v>803</v>
      </c>
      <c r="AD74" s="50">
        <f t="shared" si="57"/>
        <v>6.7049247525912042E-2</v>
      </c>
      <c r="AE74" s="50">
        <f t="shared" si="57"/>
        <v>6.8027787190782785E-2</v>
      </c>
      <c r="AG74" s="48">
        <f t="shared" si="64"/>
        <v>138.5</v>
      </c>
      <c r="AH74" s="48">
        <f t="shared" si="64"/>
        <v>261</v>
      </c>
      <c r="AI74" s="48">
        <f t="shared" si="64"/>
        <v>207</v>
      </c>
      <c r="AJ74" s="48">
        <f t="shared" si="64"/>
        <v>63</v>
      </c>
      <c r="AK74" s="48">
        <f t="shared" si="64"/>
        <v>11</v>
      </c>
      <c r="AL74" s="48">
        <f t="shared" si="64"/>
        <v>0</v>
      </c>
      <c r="AM74" s="48">
        <f t="shared" si="64"/>
        <v>68</v>
      </c>
      <c r="AN74" s="48">
        <f t="shared" si="64"/>
        <v>34.5</v>
      </c>
      <c r="AO74" s="48">
        <f t="shared" si="64"/>
        <v>20</v>
      </c>
      <c r="AQ74" s="50"/>
    </row>
    <row r="75" spans="1:51">
      <c r="A75" s="3">
        <v>0.58333333333333348</v>
      </c>
      <c r="B75" s="3">
        <v>0.625</v>
      </c>
      <c r="C75" s="21"/>
      <c r="D75" s="21"/>
      <c r="E75" s="22"/>
      <c r="F75" s="22"/>
      <c r="G75" s="22"/>
      <c r="H75" s="22"/>
      <c r="I75" s="22"/>
      <c r="J75" s="22"/>
      <c r="K75" s="22"/>
      <c r="L75" s="22"/>
      <c r="O75" s="34">
        <f>SUM(O24:O25)</f>
        <v>206</v>
      </c>
      <c r="P75" s="34">
        <f t="shared" ref="P75:X75" si="66">SUM(P24:P25)</f>
        <v>544</v>
      </c>
      <c r="Q75" s="34">
        <f t="shared" si="66"/>
        <v>197</v>
      </c>
      <c r="R75" s="35">
        <f t="shared" si="66"/>
        <v>64</v>
      </c>
      <c r="S75" s="35">
        <f t="shared" si="66"/>
        <v>0</v>
      </c>
      <c r="T75" s="35">
        <f t="shared" si="66"/>
        <v>4</v>
      </c>
      <c r="U75" s="35">
        <f t="shared" si="66"/>
        <v>35</v>
      </c>
      <c r="V75" s="35">
        <f t="shared" si="66"/>
        <v>32</v>
      </c>
      <c r="W75" s="35">
        <f t="shared" si="66"/>
        <v>6</v>
      </c>
      <c r="X75" s="35">
        <f t="shared" si="66"/>
        <v>0</v>
      </c>
      <c r="Y75" s="36">
        <f t="shared" si="52"/>
        <v>467</v>
      </c>
      <c r="Z75" s="37">
        <f t="shared" si="53"/>
        <v>583</v>
      </c>
      <c r="AA75" s="37">
        <f t="shared" si="54"/>
        <v>38</v>
      </c>
      <c r="AB75" s="36">
        <f t="shared" si="55"/>
        <v>1088</v>
      </c>
      <c r="AC75" s="38">
        <f t="shared" si="56"/>
        <v>775</v>
      </c>
      <c r="AD75" s="50">
        <f t="shared" si="57"/>
        <v>6.3711424723312052E-2</v>
      </c>
      <c r="AE75" s="50">
        <f t="shared" si="57"/>
        <v>6.565570992883768E-2</v>
      </c>
      <c r="AG75" s="48">
        <f t="shared" si="64"/>
        <v>103</v>
      </c>
      <c r="AH75" s="48">
        <f t="shared" si="64"/>
        <v>272</v>
      </c>
      <c r="AI75" s="48">
        <f t="shared" si="64"/>
        <v>197</v>
      </c>
      <c r="AJ75" s="48">
        <f t="shared" si="64"/>
        <v>64</v>
      </c>
      <c r="AK75" s="48">
        <f t="shared" si="64"/>
        <v>0</v>
      </c>
      <c r="AL75" s="48">
        <f t="shared" si="64"/>
        <v>6</v>
      </c>
      <c r="AM75" s="48">
        <f t="shared" si="64"/>
        <v>70</v>
      </c>
      <c r="AN75" s="48">
        <f t="shared" si="64"/>
        <v>48</v>
      </c>
      <c r="AO75" s="48">
        <f t="shared" si="64"/>
        <v>15</v>
      </c>
      <c r="AQ75" s="50"/>
    </row>
    <row r="76" spans="1:51" s="48" customFormat="1">
      <c r="A76" s="3">
        <v>0.625</v>
      </c>
      <c r="B76" s="3">
        <v>0.66666666666666652</v>
      </c>
      <c r="C76" s="21"/>
      <c r="D76" s="21"/>
      <c r="E76" s="22"/>
      <c r="F76" s="22"/>
      <c r="G76" s="22"/>
      <c r="H76" s="22"/>
      <c r="I76" s="22"/>
      <c r="J76" s="22"/>
      <c r="K76" s="22"/>
      <c r="L76" s="22"/>
      <c r="O76" s="34">
        <f>SUM(O26:O27)</f>
        <v>198</v>
      </c>
      <c r="P76" s="34">
        <f t="shared" ref="P76:X76" si="67">SUM(P26:P27)</f>
        <v>442</v>
      </c>
      <c r="Q76" s="34">
        <f t="shared" si="67"/>
        <v>189</v>
      </c>
      <c r="R76" s="35">
        <f t="shared" si="67"/>
        <v>59</v>
      </c>
      <c r="S76" s="35">
        <f t="shared" si="67"/>
        <v>0</v>
      </c>
      <c r="T76" s="35">
        <f t="shared" si="67"/>
        <v>1</v>
      </c>
      <c r="U76" s="35">
        <f t="shared" si="67"/>
        <v>31</v>
      </c>
      <c r="V76" s="35">
        <f t="shared" si="67"/>
        <v>37</v>
      </c>
      <c r="W76" s="35">
        <f t="shared" si="67"/>
        <v>9</v>
      </c>
      <c r="X76" s="35">
        <f t="shared" si="67"/>
        <v>0</v>
      </c>
      <c r="Y76" s="36">
        <f t="shared" si="52"/>
        <v>446</v>
      </c>
      <c r="Z76" s="37">
        <f t="shared" si="53"/>
        <v>474</v>
      </c>
      <c r="AA76" s="37">
        <f t="shared" si="54"/>
        <v>46</v>
      </c>
      <c r="AB76" s="36">
        <f t="shared" si="55"/>
        <v>966</v>
      </c>
      <c r="AC76" s="38">
        <f t="shared" si="56"/>
        <v>709.5</v>
      </c>
      <c r="AD76" s="50">
        <f t="shared" si="57"/>
        <v>5.6567312759852433E-2</v>
      </c>
      <c r="AE76" s="50">
        <f t="shared" si="57"/>
        <v>6.010674347678753E-2</v>
      </c>
      <c r="AG76" s="48">
        <f t="shared" si="64"/>
        <v>99</v>
      </c>
      <c r="AH76" s="48">
        <f t="shared" si="64"/>
        <v>221</v>
      </c>
      <c r="AI76" s="48">
        <f t="shared" si="64"/>
        <v>189</v>
      </c>
      <c r="AJ76" s="48">
        <f t="shared" si="64"/>
        <v>59</v>
      </c>
      <c r="AK76" s="48">
        <f t="shared" si="64"/>
        <v>0</v>
      </c>
      <c r="AL76" s="48">
        <f t="shared" si="64"/>
        <v>1.5</v>
      </c>
      <c r="AM76" s="48">
        <f t="shared" si="64"/>
        <v>62</v>
      </c>
      <c r="AN76" s="48">
        <f t="shared" si="64"/>
        <v>55.5</v>
      </c>
      <c r="AO76" s="48">
        <f t="shared" si="64"/>
        <v>22.5</v>
      </c>
      <c r="AQ76" s="50"/>
      <c r="AU76" s="5"/>
      <c r="AV76" s="5"/>
      <c r="AW76" s="5"/>
      <c r="AX76" s="5"/>
      <c r="AY76" s="5"/>
    </row>
    <row r="77" spans="1:51" s="48" customFormat="1">
      <c r="A77" s="3">
        <v>0.66666666666666652</v>
      </c>
      <c r="B77" s="3">
        <v>0.70833333333333304</v>
      </c>
      <c r="C77" s="21"/>
      <c r="D77" s="21"/>
      <c r="E77" s="22"/>
      <c r="F77" s="22"/>
      <c r="G77" s="22"/>
      <c r="H77" s="22"/>
      <c r="I77" s="22"/>
      <c r="J77" s="22"/>
      <c r="K77" s="22"/>
      <c r="L77" s="22"/>
      <c r="O77" s="34">
        <f>SUM(O28:O29)</f>
        <v>211</v>
      </c>
      <c r="P77" s="34">
        <f t="shared" ref="P77:X77" si="68">SUM(P28:P29)</f>
        <v>590</v>
      </c>
      <c r="Q77" s="34">
        <f t="shared" si="68"/>
        <v>216</v>
      </c>
      <c r="R77" s="35">
        <f t="shared" si="68"/>
        <v>91</v>
      </c>
      <c r="S77" s="35">
        <f t="shared" si="68"/>
        <v>0</v>
      </c>
      <c r="T77" s="35">
        <f t="shared" si="68"/>
        <v>1</v>
      </c>
      <c r="U77" s="35">
        <f t="shared" si="68"/>
        <v>26</v>
      </c>
      <c r="V77" s="35">
        <f t="shared" si="68"/>
        <v>29</v>
      </c>
      <c r="W77" s="35">
        <f t="shared" si="68"/>
        <v>8</v>
      </c>
      <c r="X77" s="35">
        <f t="shared" si="68"/>
        <v>0</v>
      </c>
      <c r="Y77" s="36">
        <f t="shared" si="52"/>
        <v>518</v>
      </c>
      <c r="Z77" s="37">
        <f t="shared" si="53"/>
        <v>617</v>
      </c>
      <c r="AA77" s="37">
        <f t="shared" si="54"/>
        <v>37</v>
      </c>
      <c r="AB77" s="36">
        <f t="shared" si="55"/>
        <v>1172</v>
      </c>
      <c r="AC77" s="38">
        <f t="shared" si="56"/>
        <v>824.5</v>
      </c>
      <c r="AD77" s="50">
        <f t="shared" si="57"/>
        <v>6.8630321485038351E-2</v>
      </c>
      <c r="AE77" s="50">
        <f t="shared" si="57"/>
        <v>6.9849203659776343E-2</v>
      </c>
      <c r="AG77" s="48">
        <f t="shared" si="64"/>
        <v>105.5</v>
      </c>
      <c r="AH77" s="48">
        <f t="shared" si="64"/>
        <v>295</v>
      </c>
      <c r="AI77" s="48">
        <f t="shared" si="64"/>
        <v>216</v>
      </c>
      <c r="AJ77" s="48">
        <f t="shared" si="64"/>
        <v>91</v>
      </c>
      <c r="AK77" s="48">
        <f t="shared" si="64"/>
        <v>0</v>
      </c>
      <c r="AL77" s="48">
        <f t="shared" si="64"/>
        <v>1.5</v>
      </c>
      <c r="AM77" s="48">
        <f t="shared" si="64"/>
        <v>52</v>
      </c>
      <c r="AN77" s="48">
        <f t="shared" si="64"/>
        <v>43.5</v>
      </c>
      <c r="AO77" s="48">
        <f t="shared" si="64"/>
        <v>20</v>
      </c>
      <c r="AQ77" s="50"/>
      <c r="AU77" s="5"/>
      <c r="AV77" s="5"/>
      <c r="AW77" s="5"/>
      <c r="AX77" s="5"/>
      <c r="AY77" s="5"/>
    </row>
    <row r="78" spans="1:51" s="48" customFormat="1">
      <c r="A78" s="3">
        <v>0.70833333333333304</v>
      </c>
      <c r="B78" s="3">
        <v>0.74999999999999956</v>
      </c>
      <c r="C78" s="21"/>
      <c r="D78" s="21"/>
      <c r="E78" s="22"/>
      <c r="F78" s="22"/>
      <c r="G78" s="22"/>
      <c r="H78" s="22"/>
      <c r="I78" s="22"/>
      <c r="J78" s="22"/>
      <c r="K78" s="22"/>
      <c r="L78" s="22"/>
      <c r="O78" s="34">
        <f>SUM(O30:O31)</f>
        <v>254</v>
      </c>
      <c r="P78" s="34">
        <f t="shared" ref="P78:X78" si="69">SUM(P30:P31)</f>
        <v>805</v>
      </c>
      <c r="Q78" s="34">
        <f t="shared" si="69"/>
        <v>280</v>
      </c>
      <c r="R78" s="35">
        <f t="shared" si="69"/>
        <v>80</v>
      </c>
      <c r="S78" s="35">
        <f t="shared" si="69"/>
        <v>7</v>
      </c>
      <c r="T78" s="35">
        <f t="shared" si="69"/>
        <v>0</v>
      </c>
      <c r="U78" s="35">
        <f t="shared" si="69"/>
        <v>11</v>
      </c>
      <c r="V78" s="35">
        <f t="shared" si="69"/>
        <v>23</v>
      </c>
      <c r="W78" s="35">
        <f t="shared" si="69"/>
        <v>3</v>
      </c>
      <c r="X78" s="35">
        <f t="shared" si="69"/>
        <v>0</v>
      </c>
      <c r="Y78" s="36">
        <f t="shared" si="52"/>
        <v>614</v>
      </c>
      <c r="Z78" s="37">
        <f t="shared" si="53"/>
        <v>823</v>
      </c>
      <c r="AA78" s="37">
        <f t="shared" si="54"/>
        <v>26</v>
      </c>
      <c r="AB78" s="36">
        <f t="shared" si="55"/>
        <v>1463</v>
      </c>
      <c r="AC78" s="38">
        <f t="shared" si="56"/>
        <v>960.5</v>
      </c>
      <c r="AD78" s="50">
        <f t="shared" si="57"/>
        <v>8.5670785266733038E-2</v>
      </c>
      <c r="AE78" s="50">
        <f t="shared" si="57"/>
        <v>8.1370721789223999E-2</v>
      </c>
      <c r="AG78" s="48">
        <f t="shared" si="64"/>
        <v>127</v>
      </c>
      <c r="AH78" s="48">
        <f t="shared" si="64"/>
        <v>402.5</v>
      </c>
      <c r="AI78" s="48">
        <f t="shared" si="64"/>
        <v>280</v>
      </c>
      <c r="AJ78" s="48">
        <f t="shared" si="64"/>
        <v>80</v>
      </c>
      <c r="AK78" s="48">
        <f t="shared" si="64"/>
        <v>7</v>
      </c>
      <c r="AL78" s="48">
        <f t="shared" si="64"/>
        <v>0</v>
      </c>
      <c r="AM78" s="48">
        <f t="shared" si="64"/>
        <v>22</v>
      </c>
      <c r="AN78" s="48">
        <f t="shared" si="64"/>
        <v>34.5</v>
      </c>
      <c r="AO78" s="48">
        <f t="shared" si="64"/>
        <v>7.5</v>
      </c>
      <c r="AQ78" s="50"/>
      <c r="AU78" s="5"/>
      <c r="AV78" s="5"/>
      <c r="AW78" s="5"/>
      <c r="AX78" s="5"/>
      <c r="AY78" s="5"/>
    </row>
    <row r="79" spans="1:51" s="48" customFormat="1">
      <c r="A79" s="3">
        <v>0.74999999999999956</v>
      </c>
      <c r="B79" s="3">
        <v>0.79166666666666607</v>
      </c>
      <c r="C79" s="21"/>
      <c r="D79" s="21"/>
      <c r="E79" s="22"/>
      <c r="F79" s="22"/>
      <c r="G79" s="22"/>
      <c r="H79" s="22"/>
      <c r="I79" s="22"/>
      <c r="J79" s="22"/>
      <c r="K79" s="22"/>
      <c r="L79" s="22"/>
      <c r="O79" s="34">
        <f>SUM(O32:O33)</f>
        <v>204</v>
      </c>
      <c r="P79" s="34">
        <f t="shared" ref="P79:X79" si="70">SUM(P32:P33)</f>
        <v>661</v>
      </c>
      <c r="Q79" s="34">
        <f t="shared" si="70"/>
        <v>284</v>
      </c>
      <c r="R79" s="35">
        <f t="shared" si="70"/>
        <v>67</v>
      </c>
      <c r="S79" s="35">
        <f t="shared" si="70"/>
        <v>11</v>
      </c>
      <c r="T79" s="35">
        <f t="shared" si="70"/>
        <v>1</v>
      </c>
      <c r="U79" s="35">
        <f t="shared" si="70"/>
        <v>5</v>
      </c>
      <c r="V79" s="35">
        <f t="shared" si="70"/>
        <v>22</v>
      </c>
      <c r="W79" s="35">
        <f t="shared" si="70"/>
        <v>0</v>
      </c>
      <c r="X79" s="35">
        <f t="shared" si="70"/>
        <v>0</v>
      </c>
      <c r="Y79" s="36">
        <f t="shared" si="52"/>
        <v>555</v>
      </c>
      <c r="Z79" s="37">
        <f t="shared" si="53"/>
        <v>678</v>
      </c>
      <c r="AA79" s="37">
        <f t="shared" si="54"/>
        <v>22</v>
      </c>
      <c r="AB79" s="36">
        <f t="shared" si="55"/>
        <v>1255</v>
      </c>
      <c r="AC79" s="38">
        <f t="shared" si="56"/>
        <v>839</v>
      </c>
      <c r="AD79" s="50">
        <f t="shared" si="57"/>
        <v>7.3490659951982201E-2</v>
      </c>
      <c r="AE79" s="50">
        <f t="shared" si="57"/>
        <v>7.107760081328364E-2</v>
      </c>
      <c r="AG79" s="48">
        <f t="shared" si="64"/>
        <v>102</v>
      </c>
      <c r="AH79" s="48">
        <f t="shared" si="64"/>
        <v>330.5</v>
      </c>
      <c r="AI79" s="48">
        <f t="shared" si="64"/>
        <v>284</v>
      </c>
      <c r="AJ79" s="48">
        <f t="shared" si="64"/>
        <v>67</v>
      </c>
      <c r="AK79" s="48">
        <f t="shared" si="64"/>
        <v>11</v>
      </c>
      <c r="AL79" s="48">
        <f t="shared" si="64"/>
        <v>1.5</v>
      </c>
      <c r="AM79" s="48">
        <f t="shared" si="64"/>
        <v>10</v>
      </c>
      <c r="AN79" s="48">
        <f t="shared" si="64"/>
        <v>33</v>
      </c>
      <c r="AO79" s="48">
        <f t="shared" si="64"/>
        <v>0</v>
      </c>
      <c r="AQ79" s="50"/>
      <c r="AU79" s="5"/>
      <c r="AV79" s="5"/>
      <c r="AW79" s="5"/>
      <c r="AX79" s="5"/>
      <c r="AY79" s="5"/>
    </row>
    <row r="80" spans="1:51" s="48" customFormat="1">
      <c r="A80" s="3">
        <v>0.79166666666666607</v>
      </c>
      <c r="B80" s="3">
        <v>0.83333333333333259</v>
      </c>
      <c r="C80" s="21"/>
      <c r="D80" s="21"/>
      <c r="E80" s="22"/>
      <c r="F80" s="22"/>
      <c r="G80" s="22"/>
      <c r="H80" s="22"/>
      <c r="I80" s="22"/>
      <c r="J80" s="22"/>
      <c r="K80" s="22"/>
      <c r="L80" s="22"/>
      <c r="O80" s="34">
        <f>SUM(O34:O35)</f>
        <v>175</v>
      </c>
      <c r="P80" s="34">
        <f t="shared" ref="P80:X80" si="71">SUM(P34:P35)</f>
        <v>639</v>
      </c>
      <c r="Q80" s="34">
        <f t="shared" si="71"/>
        <v>239</v>
      </c>
      <c r="R80" s="35">
        <f t="shared" si="71"/>
        <v>46</v>
      </c>
      <c r="S80" s="35">
        <f t="shared" si="71"/>
        <v>7</v>
      </c>
      <c r="T80" s="35">
        <f t="shared" si="71"/>
        <v>4</v>
      </c>
      <c r="U80" s="35">
        <f t="shared" si="71"/>
        <v>22</v>
      </c>
      <c r="V80" s="35">
        <f t="shared" si="71"/>
        <v>9</v>
      </c>
      <c r="W80" s="35">
        <f t="shared" si="71"/>
        <v>2</v>
      </c>
      <c r="X80" s="35">
        <f t="shared" si="71"/>
        <v>0</v>
      </c>
      <c r="Y80" s="36">
        <f t="shared" si="52"/>
        <v>460</v>
      </c>
      <c r="Z80" s="37">
        <f t="shared" si="53"/>
        <v>672</v>
      </c>
      <c r="AA80" s="37">
        <f t="shared" si="54"/>
        <v>11</v>
      </c>
      <c r="AB80" s="36">
        <f t="shared" si="55"/>
        <v>1143</v>
      </c>
      <c r="AC80" s="38">
        <f t="shared" si="56"/>
        <v>767.5</v>
      </c>
      <c r="AD80" s="50">
        <f t="shared" si="57"/>
        <v>6.6932130936347131E-2</v>
      </c>
      <c r="AE80" s="50">
        <f t="shared" si="57"/>
        <v>6.5020332090816674E-2</v>
      </c>
      <c r="AG80" s="48">
        <f t="shared" si="64"/>
        <v>87.5</v>
      </c>
      <c r="AH80" s="48">
        <f t="shared" si="64"/>
        <v>319.5</v>
      </c>
      <c r="AI80" s="48">
        <f t="shared" si="64"/>
        <v>239</v>
      </c>
      <c r="AJ80" s="48">
        <f t="shared" si="64"/>
        <v>46</v>
      </c>
      <c r="AK80" s="48">
        <f t="shared" si="64"/>
        <v>7</v>
      </c>
      <c r="AL80" s="48">
        <f t="shared" si="64"/>
        <v>6</v>
      </c>
      <c r="AM80" s="48">
        <f t="shared" si="64"/>
        <v>44</v>
      </c>
      <c r="AN80" s="48">
        <f t="shared" si="64"/>
        <v>13.5</v>
      </c>
      <c r="AO80" s="48">
        <f t="shared" si="64"/>
        <v>5</v>
      </c>
      <c r="AQ80" s="50"/>
      <c r="AU80" s="5"/>
      <c r="AV80" s="5"/>
      <c r="AW80" s="5"/>
      <c r="AX80" s="5"/>
      <c r="AY80" s="5"/>
    </row>
    <row r="81" spans="1:51" s="48" customFormat="1">
      <c r="A81" s="3">
        <v>0.83333333333333259</v>
      </c>
      <c r="B81" s="3">
        <v>0.87499999999999911</v>
      </c>
      <c r="C81" s="21"/>
      <c r="D81" s="21"/>
      <c r="E81" s="22"/>
      <c r="F81" s="22"/>
      <c r="G81" s="22"/>
      <c r="H81" s="22"/>
      <c r="I81" s="22"/>
      <c r="J81" s="22"/>
      <c r="K81" s="22"/>
      <c r="L81" s="22"/>
      <c r="O81" s="34">
        <f>SUM(O36:O37)</f>
        <v>104</v>
      </c>
      <c r="P81" s="34">
        <f t="shared" ref="P81:X81" si="72">SUM(P36:P37)</f>
        <v>522</v>
      </c>
      <c r="Q81" s="34">
        <f t="shared" si="72"/>
        <v>138</v>
      </c>
      <c r="R81" s="35">
        <f t="shared" si="72"/>
        <v>19</v>
      </c>
      <c r="S81" s="35">
        <f t="shared" si="72"/>
        <v>4</v>
      </c>
      <c r="T81" s="35">
        <f t="shared" si="72"/>
        <v>0</v>
      </c>
      <c r="U81" s="35">
        <f t="shared" si="72"/>
        <v>5</v>
      </c>
      <c r="V81" s="35">
        <f t="shared" si="72"/>
        <v>8</v>
      </c>
      <c r="W81" s="35">
        <f t="shared" si="72"/>
        <v>1</v>
      </c>
      <c r="X81" s="35">
        <f t="shared" si="72"/>
        <v>0</v>
      </c>
      <c r="Y81" s="36">
        <f t="shared" si="52"/>
        <v>261</v>
      </c>
      <c r="Z81" s="37">
        <f t="shared" si="53"/>
        <v>531</v>
      </c>
      <c r="AA81" s="37">
        <f t="shared" si="54"/>
        <v>9</v>
      </c>
      <c r="AB81" s="36">
        <f t="shared" si="55"/>
        <v>801</v>
      </c>
      <c r="AC81" s="38">
        <f t="shared" si="56"/>
        <v>498.5</v>
      </c>
      <c r="AD81" s="50">
        <f t="shared" si="57"/>
        <v>4.6905194120747201E-2</v>
      </c>
      <c r="AE81" s="50">
        <f t="shared" si="57"/>
        <v>4.2231446967129785E-2</v>
      </c>
      <c r="AG81" s="48">
        <f t="shared" si="64"/>
        <v>52</v>
      </c>
      <c r="AH81" s="48">
        <f t="shared" si="64"/>
        <v>261</v>
      </c>
      <c r="AI81" s="48">
        <f t="shared" si="64"/>
        <v>138</v>
      </c>
      <c r="AJ81" s="48">
        <f t="shared" si="64"/>
        <v>19</v>
      </c>
      <c r="AK81" s="48">
        <f t="shared" si="64"/>
        <v>4</v>
      </c>
      <c r="AL81" s="48">
        <f t="shared" si="64"/>
        <v>0</v>
      </c>
      <c r="AM81" s="48">
        <f t="shared" si="64"/>
        <v>10</v>
      </c>
      <c r="AN81" s="48">
        <f t="shared" si="64"/>
        <v>12</v>
      </c>
      <c r="AO81" s="48">
        <f t="shared" si="64"/>
        <v>2.5</v>
      </c>
      <c r="AQ81" s="50"/>
      <c r="AU81" s="5"/>
      <c r="AV81" s="5"/>
      <c r="AW81" s="5"/>
      <c r="AX81" s="5"/>
      <c r="AY81" s="5"/>
    </row>
    <row r="82" spans="1:51" s="48" customFormat="1">
      <c r="A82" s="3">
        <v>0.87499999999999911</v>
      </c>
      <c r="B82" s="3">
        <v>0.91666666666666663</v>
      </c>
      <c r="C82" s="21"/>
      <c r="D82" s="21"/>
      <c r="E82" s="22"/>
      <c r="F82" s="22"/>
      <c r="G82" s="22"/>
      <c r="H82" s="22"/>
      <c r="I82" s="22"/>
      <c r="J82" s="22"/>
      <c r="K82" s="22"/>
      <c r="L82" s="22"/>
      <c r="O82" s="34">
        <f>SUM(O38:O39)</f>
        <v>0</v>
      </c>
      <c r="P82" s="34">
        <f t="shared" ref="P82:X82" si="73">SUM(P38:P39)</f>
        <v>0</v>
      </c>
      <c r="Q82" s="34">
        <f t="shared" si="73"/>
        <v>0</v>
      </c>
      <c r="R82" s="35">
        <f t="shared" si="73"/>
        <v>0</v>
      </c>
      <c r="S82" s="35">
        <f t="shared" si="73"/>
        <v>0</v>
      </c>
      <c r="T82" s="35">
        <f t="shared" si="73"/>
        <v>0</v>
      </c>
      <c r="U82" s="35">
        <f t="shared" si="73"/>
        <v>0</v>
      </c>
      <c r="V82" s="35">
        <f t="shared" si="73"/>
        <v>0</v>
      </c>
      <c r="W82" s="35">
        <f t="shared" si="73"/>
        <v>0</v>
      </c>
      <c r="X82" s="35">
        <f t="shared" si="73"/>
        <v>0</v>
      </c>
      <c r="Y82" s="36">
        <f t="shared" si="52"/>
        <v>0</v>
      </c>
      <c r="Z82" s="37">
        <f t="shared" si="53"/>
        <v>0</v>
      </c>
      <c r="AA82" s="37">
        <f t="shared" si="54"/>
        <v>0</v>
      </c>
      <c r="AB82" s="36">
        <f t="shared" si="55"/>
        <v>0</v>
      </c>
      <c r="AC82" s="38">
        <f t="shared" si="56"/>
        <v>0</v>
      </c>
      <c r="AD82" s="50">
        <f t="shared" si="57"/>
        <v>0</v>
      </c>
      <c r="AE82" s="50">
        <f t="shared" si="57"/>
        <v>0</v>
      </c>
      <c r="AG82" s="48">
        <f t="shared" si="64"/>
        <v>0</v>
      </c>
      <c r="AH82" s="48">
        <f t="shared" si="64"/>
        <v>0</v>
      </c>
      <c r="AI82" s="48">
        <f t="shared" si="64"/>
        <v>0</v>
      </c>
      <c r="AJ82" s="48">
        <f t="shared" si="64"/>
        <v>0</v>
      </c>
      <c r="AK82" s="48">
        <f t="shared" si="64"/>
        <v>0</v>
      </c>
      <c r="AL82" s="48">
        <f t="shared" si="64"/>
        <v>0</v>
      </c>
      <c r="AM82" s="48">
        <f t="shared" si="64"/>
        <v>0</v>
      </c>
      <c r="AN82" s="48">
        <f t="shared" si="64"/>
        <v>0</v>
      </c>
      <c r="AO82" s="48">
        <f t="shared" si="64"/>
        <v>0</v>
      </c>
      <c r="AQ82" s="50"/>
      <c r="AU82" s="5"/>
      <c r="AV82" s="5"/>
      <c r="AW82" s="5"/>
      <c r="AX82" s="5"/>
      <c r="AY82" s="5"/>
    </row>
    <row r="83" spans="1:51" s="48" customFormat="1">
      <c r="A83" s="47"/>
      <c r="B83" s="47"/>
      <c r="C83" s="64"/>
      <c r="N83" s="54" t="s">
        <v>17</v>
      </c>
      <c r="O83" s="69">
        <f t="shared" ref="O83:W83" si="74">SUM(O68:O82)</f>
        <v>3265</v>
      </c>
      <c r="P83" s="69">
        <f t="shared" si="74"/>
        <v>8640</v>
      </c>
      <c r="Q83" s="69">
        <f t="shared" si="74"/>
        <v>3228</v>
      </c>
      <c r="R83" s="69">
        <f t="shared" si="74"/>
        <v>970</v>
      </c>
      <c r="S83" s="69">
        <f t="shared" si="74"/>
        <v>80</v>
      </c>
      <c r="T83" s="69">
        <f t="shared" si="74"/>
        <v>20</v>
      </c>
      <c r="U83" s="69">
        <f t="shared" si="74"/>
        <v>267</v>
      </c>
      <c r="V83" s="69">
        <f t="shared" si="74"/>
        <v>508</v>
      </c>
      <c r="W83" s="69">
        <f t="shared" si="74"/>
        <v>99</v>
      </c>
      <c r="Y83" s="67">
        <f>SUM(Y68:Y82)</f>
        <v>7463</v>
      </c>
      <c r="Z83" s="67">
        <f>SUM(Z68:Z82)</f>
        <v>9007</v>
      </c>
      <c r="AA83" s="67">
        <f>SUM(AA68:AA82)</f>
        <v>607</v>
      </c>
      <c r="AB83" s="67">
        <f>SUM(AB68:AB82)</f>
        <v>17077</v>
      </c>
      <c r="AC83" s="67">
        <f>SUM(AC68:AC82)</f>
        <v>11804</v>
      </c>
      <c r="AD83" s="50">
        <f t="shared" si="57"/>
        <v>1</v>
      </c>
      <c r="AE83" s="50">
        <f t="shared" si="57"/>
        <v>1</v>
      </c>
      <c r="AQ83" s="50"/>
    </row>
    <row r="84" spans="1:51" s="48" customFormat="1">
      <c r="A84" s="51"/>
      <c r="B84" s="51"/>
      <c r="N84" s="54" t="s">
        <v>16</v>
      </c>
      <c r="Y84" s="50"/>
      <c r="Z84" s="50"/>
      <c r="AA84" s="50"/>
      <c r="AB84" s="49"/>
    </row>
    <row r="85" spans="1:51" s="48" customFormat="1">
      <c r="A85" s="51"/>
      <c r="B85" s="51"/>
    </row>
    <row r="86" spans="1:51" s="48" customFormat="1">
      <c r="AB86" s="52" t="s">
        <v>14</v>
      </c>
      <c r="AC86" s="55">
        <f>MAX(AC68:AC82)</f>
        <v>1356.5</v>
      </c>
    </row>
    <row r="87" spans="1:51" s="48" customFormat="1">
      <c r="AB87" s="52" t="s">
        <v>15</v>
      </c>
      <c r="AC87" s="56" t="s">
        <v>23</v>
      </c>
    </row>
    <row r="88" spans="1:51" s="48" customFormat="1"/>
    <row r="89" spans="1:51" s="48" customFormat="1"/>
    <row r="90" spans="1:51" s="48" customFormat="1"/>
  </sheetData>
  <mergeCells count="1">
    <mergeCell ref="A7:B7"/>
  </mergeCells>
  <phoneticPr fontId="9" type="noConversion"/>
  <conditionalFormatting sqref="C10:L65 O10:AC65 C68:L82 O68:AC82">
    <cfRule type="cellIs" dxfId="5" priority="1" stopIfTrue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8263-BD2E-46CD-95E9-59EB7AD2C1C7}">
  <dimension ref="A1:AY90"/>
  <sheetViews>
    <sheetView zoomScale="115" zoomScaleNormal="115" workbookViewId="0">
      <pane xSplit="2" ySplit="9" topLeftCell="C64" activePane="bottomRight" state="frozen"/>
      <selection activeCell="D4" sqref="D4"/>
      <selection pane="topRight" activeCell="D4" sqref="D4"/>
      <selection pane="bottomLeft" activeCell="D4" sqref="D4"/>
      <selection pane="bottomRight" activeCell="O68" sqref="O68:X82"/>
    </sheetView>
  </sheetViews>
  <sheetFormatPr defaultColWidth="8.85546875" defaultRowHeight="15"/>
  <cols>
    <col min="1" max="2" width="5.7109375" style="5" customWidth="1"/>
    <col min="3" max="12" width="6.7109375" style="5" customWidth="1"/>
    <col min="13" max="14" width="5.7109375" style="48" customWidth="1"/>
    <col min="15" max="15" width="7.7109375" style="5" customWidth="1"/>
    <col min="16" max="24" width="6.7109375" style="5" customWidth="1"/>
    <col min="25" max="29" width="8.85546875" style="5"/>
    <col min="30" max="42" width="8.85546875" style="48"/>
    <col min="43" max="43" width="10" style="48" bestFit="1" customWidth="1"/>
    <col min="44" max="46" width="8.85546875" style="48"/>
    <col min="47" max="16384" width="8.85546875" style="5"/>
  </cols>
  <sheetData>
    <row r="1" spans="1:51" s="46" customFormat="1">
      <c r="A1" s="45" t="s">
        <v>12</v>
      </c>
      <c r="M1" s="48"/>
      <c r="N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</row>
    <row r="2" spans="1:51" s="46" customFormat="1">
      <c r="A2" s="71" t="s">
        <v>24</v>
      </c>
      <c r="C2" s="46" t="s">
        <v>28</v>
      </c>
      <c r="I2" s="46" t="s">
        <v>26</v>
      </c>
      <c r="J2" s="46" t="s">
        <v>42</v>
      </c>
      <c r="M2" s="48"/>
      <c r="N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</row>
    <row r="3" spans="1:51" s="46" customFormat="1">
      <c r="A3" s="71" t="s">
        <v>25</v>
      </c>
      <c r="C3" s="46" t="s">
        <v>29</v>
      </c>
      <c r="M3" s="48"/>
      <c r="N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</row>
    <row r="4" spans="1:51" s="46" customFormat="1">
      <c r="A4" s="71" t="s">
        <v>27</v>
      </c>
      <c r="C4" s="72" t="s">
        <v>41</v>
      </c>
      <c r="M4" s="48"/>
      <c r="N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</row>
    <row r="5" spans="1:51" s="46" customFormat="1">
      <c r="A5" s="45"/>
      <c r="M5" s="48"/>
      <c r="N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</row>
    <row r="6" spans="1:51" s="46" customFormat="1">
      <c r="A6" s="45" t="s">
        <v>13</v>
      </c>
      <c r="M6" s="48"/>
      <c r="N6" s="48"/>
      <c r="O6" s="45" t="s">
        <v>9</v>
      </c>
      <c r="P6" s="45"/>
      <c r="Q6" s="45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</row>
    <row r="7" spans="1:51" s="23" customFormat="1" ht="31.5">
      <c r="A7" s="73" t="s">
        <v>0</v>
      </c>
      <c r="B7" s="73"/>
      <c r="C7" s="59" t="s">
        <v>43</v>
      </c>
      <c r="D7" s="59" t="s">
        <v>33</v>
      </c>
      <c r="E7" s="59" t="s">
        <v>34</v>
      </c>
      <c r="F7" s="59" t="s">
        <v>35</v>
      </c>
      <c r="G7" s="59" t="s">
        <v>36</v>
      </c>
      <c r="H7" s="59" t="s">
        <v>37</v>
      </c>
      <c r="I7" s="59" t="s">
        <v>38</v>
      </c>
      <c r="J7" s="59" t="s">
        <v>39</v>
      </c>
      <c r="K7" s="59" t="s">
        <v>40</v>
      </c>
      <c r="L7" s="59"/>
      <c r="M7" s="60"/>
      <c r="N7" s="60"/>
      <c r="O7" s="59" t="str">
        <f>C7</f>
        <v>Private car</v>
      </c>
      <c r="P7" s="59" t="str">
        <f>D7</f>
        <v>MC</v>
      </c>
      <c r="Q7" s="59" t="str">
        <f t="shared" ref="Q7:X7" si="0">E7</f>
        <v>Tricycle</v>
      </c>
      <c r="R7" s="59" t="str">
        <f t="shared" si="0"/>
        <v>PUJ</v>
      </c>
      <c r="S7" s="59" t="str">
        <f t="shared" si="0"/>
        <v>Public Van</v>
      </c>
      <c r="T7" s="59" t="str">
        <f t="shared" si="0"/>
        <v xml:space="preserve">Bus </v>
      </c>
      <c r="U7" s="59" t="str">
        <f t="shared" si="0"/>
        <v>Truck</v>
      </c>
      <c r="V7" s="59" t="str">
        <f t="shared" si="0"/>
        <v>Light Goods</v>
      </c>
      <c r="W7" s="59" t="str">
        <f t="shared" si="0"/>
        <v>Others</v>
      </c>
      <c r="X7" s="59">
        <f t="shared" si="0"/>
        <v>0</v>
      </c>
      <c r="Y7" s="61" t="s">
        <v>10</v>
      </c>
      <c r="Z7" s="62" t="s">
        <v>1</v>
      </c>
      <c r="AA7" s="62" t="s">
        <v>2</v>
      </c>
      <c r="AB7" s="61" t="s">
        <v>3</v>
      </c>
      <c r="AC7" s="63" t="s">
        <v>4</v>
      </c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</row>
    <row r="8" spans="1:51">
      <c r="A8" s="6">
        <v>2.0833333333333332E-2</v>
      </c>
      <c r="C8" s="65" t="s">
        <v>6</v>
      </c>
      <c r="D8" s="65" t="s">
        <v>6</v>
      </c>
      <c r="E8" s="65" t="s">
        <v>6</v>
      </c>
      <c r="F8" s="65" t="s">
        <v>6</v>
      </c>
      <c r="G8" s="44" t="s">
        <v>8</v>
      </c>
      <c r="H8" s="65" t="s">
        <v>6</v>
      </c>
      <c r="I8" s="44" t="s">
        <v>8</v>
      </c>
      <c r="J8" s="44" t="s">
        <v>8</v>
      </c>
      <c r="K8" s="44" t="s">
        <v>8</v>
      </c>
      <c r="L8" s="44"/>
      <c r="M8" s="57"/>
      <c r="N8" s="57" t="s">
        <v>5</v>
      </c>
      <c r="O8" s="8">
        <v>0.5</v>
      </c>
      <c r="P8" s="8">
        <v>0.5</v>
      </c>
      <c r="Q8" s="8">
        <v>1</v>
      </c>
      <c r="R8" s="8">
        <v>1</v>
      </c>
      <c r="S8" s="8">
        <v>1</v>
      </c>
      <c r="T8" s="8">
        <v>1.5</v>
      </c>
      <c r="U8" s="8">
        <v>2</v>
      </c>
      <c r="V8" s="7">
        <v>1.5</v>
      </c>
      <c r="W8" s="7">
        <v>2.5</v>
      </c>
      <c r="X8" s="7">
        <v>1</v>
      </c>
      <c r="Y8" s="9"/>
      <c r="Z8" s="10"/>
      <c r="AA8" s="10"/>
      <c r="AB8" s="9"/>
      <c r="AC8" s="11"/>
      <c r="AG8" s="68" t="s">
        <v>19</v>
      </c>
      <c r="AQ8" s="48" t="s">
        <v>20</v>
      </c>
    </row>
    <row r="9" spans="1:51">
      <c r="A9" s="1"/>
      <c r="B9" s="12" t="s">
        <v>7</v>
      </c>
      <c r="C9" s="8"/>
      <c r="D9" s="8"/>
      <c r="E9" s="8"/>
      <c r="F9" s="8"/>
      <c r="G9" s="8"/>
      <c r="H9" s="8"/>
      <c r="I9" s="12"/>
      <c r="J9" s="12"/>
      <c r="K9" s="12"/>
      <c r="L9" s="12"/>
      <c r="M9" s="58"/>
      <c r="N9" s="12" t="s">
        <v>17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4"/>
      <c r="Z9" s="15"/>
      <c r="AA9" s="15"/>
      <c r="AB9" s="14"/>
      <c r="AC9" s="16"/>
      <c r="AG9" s="48" t="s">
        <v>21</v>
      </c>
    </row>
    <row r="10" spans="1:51">
      <c r="A10" s="3">
        <v>0.29166666666666674</v>
      </c>
      <c r="B10" s="3">
        <f t="shared" ref="B10:B65" si="1">$A$8+A10</f>
        <v>0.31250000000000006</v>
      </c>
      <c r="C10" s="21"/>
      <c r="D10" s="21"/>
      <c r="E10" s="22"/>
      <c r="F10" s="22"/>
      <c r="G10" s="22"/>
      <c r="H10" s="22"/>
      <c r="I10" s="22"/>
      <c r="J10" s="22"/>
      <c r="K10" s="22"/>
      <c r="L10" s="22"/>
      <c r="O10" s="34">
        <v>19</v>
      </c>
      <c r="P10" s="34">
        <v>96</v>
      </c>
      <c r="Q10" s="34">
        <v>109</v>
      </c>
      <c r="R10" s="35">
        <f t="shared" ref="R10:X25" si="2">F10-F9</f>
        <v>0</v>
      </c>
      <c r="S10" s="35">
        <f t="shared" si="2"/>
        <v>0</v>
      </c>
      <c r="T10" s="35">
        <f t="shared" si="2"/>
        <v>0</v>
      </c>
      <c r="U10" s="35">
        <v>1</v>
      </c>
      <c r="V10" s="35">
        <v>0</v>
      </c>
      <c r="W10" s="35">
        <f t="shared" si="2"/>
        <v>0</v>
      </c>
      <c r="X10" s="35">
        <f t="shared" si="2"/>
        <v>0</v>
      </c>
      <c r="Y10" s="36">
        <f t="shared" ref="Y10:Y65" si="3">O10+Q10+R10</f>
        <v>128</v>
      </c>
      <c r="Z10" s="37">
        <f t="shared" ref="Z10:Z65" si="4">S10+T10+U10+P10</f>
        <v>97</v>
      </c>
      <c r="AA10" s="37">
        <f t="shared" ref="AA10:AA65" si="5">V10+W10</f>
        <v>0</v>
      </c>
      <c r="AB10" s="36">
        <f t="shared" ref="AB10:AB65" si="6">SUM(O10:W10)</f>
        <v>225</v>
      </c>
      <c r="AC10" s="38">
        <f t="shared" ref="AC10:AC65" si="7">SUM(AG10:AO10)</f>
        <v>168.5</v>
      </c>
      <c r="AG10" s="66">
        <f t="shared" ref="AG10:AO37" si="8">O10*O$8</f>
        <v>9.5</v>
      </c>
      <c r="AH10" s="66">
        <f t="shared" si="8"/>
        <v>48</v>
      </c>
      <c r="AI10" s="66">
        <f t="shared" si="8"/>
        <v>109</v>
      </c>
      <c r="AJ10" s="66">
        <f t="shared" si="8"/>
        <v>0</v>
      </c>
      <c r="AK10" s="66">
        <f t="shared" si="8"/>
        <v>0</v>
      </c>
      <c r="AL10" s="66">
        <f t="shared" si="8"/>
        <v>0</v>
      </c>
      <c r="AM10" s="66">
        <f t="shared" si="8"/>
        <v>2</v>
      </c>
      <c r="AN10" s="66">
        <f t="shared" si="8"/>
        <v>0</v>
      </c>
      <c r="AO10" s="66">
        <f t="shared" si="8"/>
        <v>0</v>
      </c>
      <c r="AQ10" s="49">
        <f t="shared" ref="AQ10:AY10" si="9">SUM(O10:O13)</f>
        <v>34</v>
      </c>
      <c r="AR10" s="49">
        <f t="shared" si="9"/>
        <v>220</v>
      </c>
      <c r="AS10" s="49">
        <f t="shared" si="9"/>
        <v>336</v>
      </c>
      <c r="AT10" s="49">
        <f t="shared" si="9"/>
        <v>0</v>
      </c>
      <c r="AU10" s="49">
        <f t="shared" si="9"/>
        <v>0</v>
      </c>
      <c r="AV10" s="49">
        <f t="shared" si="9"/>
        <v>0</v>
      </c>
      <c r="AW10" s="49">
        <f t="shared" si="9"/>
        <v>2</v>
      </c>
      <c r="AX10" s="49">
        <f t="shared" si="9"/>
        <v>5</v>
      </c>
      <c r="AY10" s="49">
        <f t="shared" si="9"/>
        <v>0</v>
      </c>
    </row>
    <row r="11" spans="1:51">
      <c r="A11" s="1">
        <f t="shared" ref="A11:A65" si="10">B10</f>
        <v>0.31250000000000006</v>
      </c>
      <c r="B11" s="1">
        <f t="shared" si="1"/>
        <v>0.33333333333333337</v>
      </c>
      <c r="C11" s="17"/>
      <c r="D11" s="17"/>
      <c r="E11" s="18"/>
      <c r="F11" s="18"/>
      <c r="G11" s="18"/>
      <c r="H11" s="18"/>
      <c r="I11" s="18"/>
      <c r="J11" s="18"/>
      <c r="K11" s="18"/>
      <c r="L11" s="18"/>
      <c r="O11" s="24">
        <v>3</v>
      </c>
      <c r="P11" s="24">
        <v>43</v>
      </c>
      <c r="Q11" s="24">
        <v>74</v>
      </c>
      <c r="R11" s="25">
        <f t="shared" si="2"/>
        <v>0</v>
      </c>
      <c r="S11" s="25">
        <f t="shared" si="2"/>
        <v>0</v>
      </c>
      <c r="T11" s="25">
        <f t="shared" si="2"/>
        <v>0</v>
      </c>
      <c r="U11" s="25">
        <v>0</v>
      </c>
      <c r="V11" s="25">
        <v>1</v>
      </c>
      <c r="W11" s="25">
        <f t="shared" si="2"/>
        <v>0</v>
      </c>
      <c r="X11" s="25">
        <f t="shared" si="2"/>
        <v>0</v>
      </c>
      <c r="Y11" s="26">
        <f t="shared" si="3"/>
        <v>77</v>
      </c>
      <c r="Z11" s="27">
        <f t="shared" si="4"/>
        <v>43</v>
      </c>
      <c r="AA11" s="27">
        <f t="shared" si="5"/>
        <v>1</v>
      </c>
      <c r="AB11" s="26">
        <f t="shared" si="6"/>
        <v>121</v>
      </c>
      <c r="AC11" s="28">
        <f t="shared" si="7"/>
        <v>98.5</v>
      </c>
      <c r="AG11" s="66">
        <f t="shared" si="8"/>
        <v>1.5</v>
      </c>
      <c r="AH11" s="66">
        <f t="shared" si="8"/>
        <v>21.5</v>
      </c>
      <c r="AI11" s="66">
        <f t="shared" si="8"/>
        <v>74</v>
      </c>
      <c r="AJ11" s="66">
        <f t="shared" si="8"/>
        <v>0</v>
      </c>
      <c r="AK11" s="66">
        <f t="shared" si="8"/>
        <v>0</v>
      </c>
      <c r="AL11" s="66">
        <f t="shared" si="8"/>
        <v>0</v>
      </c>
      <c r="AM11" s="66">
        <f t="shared" si="8"/>
        <v>0</v>
      </c>
      <c r="AN11" s="66">
        <f t="shared" si="8"/>
        <v>1.5</v>
      </c>
      <c r="AO11" s="66">
        <f t="shared" si="8"/>
        <v>0</v>
      </c>
      <c r="AU11" s="48"/>
      <c r="AV11" s="48"/>
      <c r="AW11" s="48"/>
      <c r="AX11" s="48"/>
      <c r="AY11" s="48"/>
    </row>
    <row r="12" spans="1:51">
      <c r="A12" s="1">
        <f t="shared" si="10"/>
        <v>0.33333333333333337</v>
      </c>
      <c r="B12" s="1">
        <f t="shared" si="1"/>
        <v>0.35416666666666669</v>
      </c>
      <c r="C12" s="17"/>
      <c r="D12" s="17"/>
      <c r="E12" s="18"/>
      <c r="F12" s="18"/>
      <c r="G12" s="18"/>
      <c r="H12" s="18"/>
      <c r="I12" s="18"/>
      <c r="J12" s="18"/>
      <c r="K12" s="18"/>
      <c r="L12" s="18"/>
      <c r="O12" s="24">
        <v>4</v>
      </c>
      <c r="P12" s="24">
        <v>49</v>
      </c>
      <c r="Q12" s="24">
        <v>95</v>
      </c>
      <c r="R12" s="25">
        <f t="shared" si="2"/>
        <v>0</v>
      </c>
      <c r="S12" s="25">
        <f t="shared" si="2"/>
        <v>0</v>
      </c>
      <c r="T12" s="25">
        <f t="shared" si="2"/>
        <v>0</v>
      </c>
      <c r="U12" s="25">
        <v>0</v>
      </c>
      <c r="V12" s="25">
        <v>2</v>
      </c>
      <c r="W12" s="25">
        <f t="shared" si="2"/>
        <v>0</v>
      </c>
      <c r="X12" s="25">
        <f t="shared" si="2"/>
        <v>0</v>
      </c>
      <c r="Y12" s="26">
        <f t="shared" si="3"/>
        <v>99</v>
      </c>
      <c r="Z12" s="27">
        <f t="shared" si="4"/>
        <v>49</v>
      </c>
      <c r="AA12" s="27">
        <f t="shared" si="5"/>
        <v>2</v>
      </c>
      <c r="AB12" s="26">
        <f t="shared" si="6"/>
        <v>150</v>
      </c>
      <c r="AC12" s="28">
        <f t="shared" si="7"/>
        <v>124.5</v>
      </c>
      <c r="AG12" s="66">
        <f t="shared" si="8"/>
        <v>2</v>
      </c>
      <c r="AH12" s="66">
        <f t="shared" si="8"/>
        <v>24.5</v>
      </c>
      <c r="AI12" s="66">
        <f t="shared" si="8"/>
        <v>95</v>
      </c>
      <c r="AJ12" s="66">
        <f t="shared" si="8"/>
        <v>0</v>
      </c>
      <c r="AK12" s="66">
        <f t="shared" si="8"/>
        <v>0</v>
      </c>
      <c r="AL12" s="66">
        <f t="shared" si="8"/>
        <v>0</v>
      </c>
      <c r="AM12" s="66">
        <f t="shared" si="8"/>
        <v>0</v>
      </c>
      <c r="AN12" s="66">
        <f t="shared" si="8"/>
        <v>3</v>
      </c>
      <c r="AO12" s="66">
        <f t="shared" si="8"/>
        <v>0</v>
      </c>
      <c r="AU12" s="48"/>
      <c r="AV12" s="48"/>
      <c r="AW12" s="48"/>
      <c r="AX12" s="48"/>
      <c r="AY12" s="48"/>
    </row>
    <row r="13" spans="1:51">
      <c r="A13" s="2">
        <f t="shared" si="10"/>
        <v>0.35416666666666669</v>
      </c>
      <c r="B13" s="2">
        <f t="shared" si="1"/>
        <v>0.375</v>
      </c>
      <c r="C13" s="19"/>
      <c r="D13" s="19"/>
      <c r="E13" s="20"/>
      <c r="F13" s="20"/>
      <c r="G13" s="20"/>
      <c r="H13" s="20"/>
      <c r="I13" s="20"/>
      <c r="J13" s="20"/>
      <c r="K13" s="20"/>
      <c r="L13" s="20"/>
      <c r="O13" s="29">
        <v>8</v>
      </c>
      <c r="P13" s="29">
        <v>32</v>
      </c>
      <c r="Q13" s="29">
        <v>58</v>
      </c>
      <c r="R13" s="30">
        <f t="shared" si="2"/>
        <v>0</v>
      </c>
      <c r="S13" s="30">
        <f t="shared" si="2"/>
        <v>0</v>
      </c>
      <c r="T13" s="30">
        <f t="shared" si="2"/>
        <v>0</v>
      </c>
      <c r="U13" s="30">
        <v>1</v>
      </c>
      <c r="V13" s="30">
        <v>2</v>
      </c>
      <c r="W13" s="30">
        <f t="shared" si="2"/>
        <v>0</v>
      </c>
      <c r="X13" s="30">
        <f t="shared" si="2"/>
        <v>0</v>
      </c>
      <c r="Y13" s="31">
        <f t="shared" si="3"/>
        <v>66</v>
      </c>
      <c r="Z13" s="32">
        <f t="shared" si="4"/>
        <v>33</v>
      </c>
      <c r="AA13" s="32">
        <f t="shared" si="5"/>
        <v>2</v>
      </c>
      <c r="AB13" s="31">
        <f t="shared" si="6"/>
        <v>101</v>
      </c>
      <c r="AC13" s="33">
        <f t="shared" si="7"/>
        <v>83</v>
      </c>
      <c r="AG13" s="66">
        <f t="shared" si="8"/>
        <v>4</v>
      </c>
      <c r="AH13" s="66">
        <f t="shared" si="8"/>
        <v>16</v>
      </c>
      <c r="AI13" s="66">
        <f t="shared" si="8"/>
        <v>58</v>
      </c>
      <c r="AJ13" s="66">
        <f t="shared" si="8"/>
        <v>0</v>
      </c>
      <c r="AK13" s="66">
        <f t="shared" si="8"/>
        <v>0</v>
      </c>
      <c r="AL13" s="66">
        <f t="shared" si="8"/>
        <v>0</v>
      </c>
      <c r="AM13" s="66">
        <f t="shared" si="8"/>
        <v>2</v>
      </c>
      <c r="AN13" s="66">
        <f t="shared" si="8"/>
        <v>3</v>
      </c>
      <c r="AO13" s="66">
        <f t="shared" si="8"/>
        <v>0</v>
      </c>
      <c r="AU13" s="48"/>
      <c r="AV13" s="48"/>
      <c r="AW13" s="48"/>
      <c r="AX13" s="48"/>
      <c r="AY13" s="48"/>
    </row>
    <row r="14" spans="1:51">
      <c r="A14" s="3">
        <f t="shared" si="10"/>
        <v>0.375</v>
      </c>
      <c r="B14" s="3">
        <f t="shared" si="1"/>
        <v>0.39583333333333331</v>
      </c>
      <c r="C14" s="21"/>
      <c r="D14" s="21"/>
      <c r="E14" s="22"/>
      <c r="F14" s="22"/>
      <c r="G14" s="22"/>
      <c r="H14" s="22"/>
      <c r="I14" s="22"/>
      <c r="J14" s="22"/>
      <c r="K14" s="22"/>
      <c r="L14" s="22"/>
      <c r="O14" s="34">
        <v>3</v>
      </c>
      <c r="P14" s="34">
        <v>31</v>
      </c>
      <c r="Q14" s="34">
        <v>50</v>
      </c>
      <c r="R14" s="35">
        <f t="shared" si="2"/>
        <v>0</v>
      </c>
      <c r="S14" s="35">
        <f t="shared" si="2"/>
        <v>0</v>
      </c>
      <c r="T14" s="35">
        <f t="shared" si="2"/>
        <v>0</v>
      </c>
      <c r="U14" s="35">
        <v>0</v>
      </c>
      <c r="V14" s="35">
        <v>0</v>
      </c>
      <c r="W14" s="35">
        <f t="shared" si="2"/>
        <v>0</v>
      </c>
      <c r="X14" s="35">
        <f t="shared" si="2"/>
        <v>0</v>
      </c>
      <c r="Y14" s="36">
        <f t="shared" si="3"/>
        <v>53</v>
      </c>
      <c r="Z14" s="37">
        <f t="shared" si="4"/>
        <v>31</v>
      </c>
      <c r="AA14" s="37">
        <f t="shared" si="5"/>
        <v>0</v>
      </c>
      <c r="AB14" s="36">
        <f t="shared" si="6"/>
        <v>84</v>
      </c>
      <c r="AC14" s="38">
        <f t="shared" si="7"/>
        <v>67</v>
      </c>
      <c r="AG14" s="66">
        <f t="shared" si="8"/>
        <v>1.5</v>
      </c>
      <c r="AH14" s="66">
        <f t="shared" si="8"/>
        <v>15.5</v>
      </c>
      <c r="AI14" s="66">
        <f t="shared" si="8"/>
        <v>50</v>
      </c>
      <c r="AJ14" s="66">
        <f t="shared" si="8"/>
        <v>0</v>
      </c>
      <c r="AK14" s="66">
        <f t="shared" si="8"/>
        <v>0</v>
      </c>
      <c r="AL14" s="66">
        <f t="shared" si="8"/>
        <v>0</v>
      </c>
      <c r="AM14" s="66">
        <f t="shared" si="8"/>
        <v>0</v>
      </c>
      <c r="AN14" s="66">
        <f t="shared" si="8"/>
        <v>0</v>
      </c>
      <c r="AO14" s="66">
        <f t="shared" si="8"/>
        <v>0</v>
      </c>
      <c r="AQ14" s="49">
        <f t="shared" ref="AQ14:AY14" si="11">SUM(O14:O17)</f>
        <v>15</v>
      </c>
      <c r="AR14" s="49">
        <f t="shared" si="11"/>
        <v>99</v>
      </c>
      <c r="AS14" s="49">
        <f t="shared" si="11"/>
        <v>215</v>
      </c>
      <c r="AT14" s="49">
        <f t="shared" si="11"/>
        <v>0</v>
      </c>
      <c r="AU14" s="49">
        <f t="shared" si="11"/>
        <v>0</v>
      </c>
      <c r="AV14" s="49">
        <f t="shared" si="11"/>
        <v>0</v>
      </c>
      <c r="AW14" s="49">
        <f t="shared" si="11"/>
        <v>2</v>
      </c>
      <c r="AX14" s="49">
        <f t="shared" si="11"/>
        <v>0</v>
      </c>
      <c r="AY14" s="49">
        <f t="shared" si="11"/>
        <v>0</v>
      </c>
    </row>
    <row r="15" spans="1:51">
      <c r="A15" s="1">
        <f t="shared" si="10"/>
        <v>0.39583333333333331</v>
      </c>
      <c r="B15" s="1">
        <f t="shared" si="1"/>
        <v>0.41666666666666663</v>
      </c>
      <c r="C15" s="17"/>
      <c r="D15" s="17"/>
      <c r="E15" s="18"/>
      <c r="F15" s="18"/>
      <c r="G15" s="18"/>
      <c r="H15" s="18"/>
      <c r="I15" s="18"/>
      <c r="J15" s="18"/>
      <c r="K15" s="18"/>
      <c r="L15" s="18"/>
      <c r="O15" s="24">
        <v>4</v>
      </c>
      <c r="P15" s="24">
        <v>22</v>
      </c>
      <c r="Q15" s="24">
        <v>76</v>
      </c>
      <c r="R15" s="25">
        <f t="shared" si="2"/>
        <v>0</v>
      </c>
      <c r="S15" s="25">
        <f t="shared" si="2"/>
        <v>0</v>
      </c>
      <c r="T15" s="25">
        <f t="shared" si="2"/>
        <v>0</v>
      </c>
      <c r="U15" s="25">
        <v>1</v>
      </c>
      <c r="V15" s="25">
        <v>0</v>
      </c>
      <c r="W15" s="25">
        <f t="shared" si="2"/>
        <v>0</v>
      </c>
      <c r="X15" s="25">
        <f t="shared" si="2"/>
        <v>0</v>
      </c>
      <c r="Y15" s="26">
        <f t="shared" si="3"/>
        <v>80</v>
      </c>
      <c r="Z15" s="27">
        <f t="shared" si="4"/>
        <v>23</v>
      </c>
      <c r="AA15" s="27">
        <f t="shared" si="5"/>
        <v>0</v>
      </c>
      <c r="AB15" s="26">
        <f t="shared" si="6"/>
        <v>103</v>
      </c>
      <c r="AC15" s="28">
        <f t="shared" si="7"/>
        <v>91</v>
      </c>
      <c r="AG15" s="66">
        <f t="shared" si="8"/>
        <v>2</v>
      </c>
      <c r="AH15" s="66">
        <f t="shared" si="8"/>
        <v>11</v>
      </c>
      <c r="AI15" s="66">
        <f t="shared" si="8"/>
        <v>76</v>
      </c>
      <c r="AJ15" s="66">
        <f t="shared" si="8"/>
        <v>0</v>
      </c>
      <c r="AK15" s="66">
        <f t="shared" si="8"/>
        <v>0</v>
      </c>
      <c r="AL15" s="66">
        <f t="shared" si="8"/>
        <v>0</v>
      </c>
      <c r="AM15" s="66">
        <f t="shared" si="8"/>
        <v>2</v>
      </c>
      <c r="AN15" s="66">
        <f t="shared" si="8"/>
        <v>0</v>
      </c>
      <c r="AO15" s="66">
        <f t="shared" si="8"/>
        <v>0</v>
      </c>
      <c r="AU15" s="48"/>
      <c r="AV15" s="48"/>
      <c r="AW15" s="48"/>
      <c r="AX15" s="48"/>
      <c r="AY15" s="48"/>
    </row>
    <row r="16" spans="1:51">
      <c r="A16" s="1">
        <f t="shared" si="10"/>
        <v>0.41666666666666663</v>
      </c>
      <c r="B16" s="1">
        <f t="shared" si="1"/>
        <v>0.43749999999999994</v>
      </c>
      <c r="C16" s="17"/>
      <c r="D16" s="17"/>
      <c r="E16" s="18"/>
      <c r="F16" s="18"/>
      <c r="G16" s="18"/>
      <c r="H16" s="18"/>
      <c r="I16" s="18"/>
      <c r="J16" s="18"/>
      <c r="K16" s="18"/>
      <c r="L16" s="18"/>
      <c r="O16" s="24">
        <v>6</v>
      </c>
      <c r="P16" s="24">
        <v>33</v>
      </c>
      <c r="Q16" s="24">
        <v>60</v>
      </c>
      <c r="R16" s="25">
        <f t="shared" si="2"/>
        <v>0</v>
      </c>
      <c r="S16" s="25">
        <f t="shared" si="2"/>
        <v>0</v>
      </c>
      <c r="T16" s="25">
        <f t="shared" si="2"/>
        <v>0</v>
      </c>
      <c r="U16" s="25">
        <v>1</v>
      </c>
      <c r="V16" s="25">
        <v>0</v>
      </c>
      <c r="W16" s="25">
        <f t="shared" si="2"/>
        <v>0</v>
      </c>
      <c r="X16" s="25">
        <f t="shared" si="2"/>
        <v>0</v>
      </c>
      <c r="Y16" s="26">
        <f t="shared" si="3"/>
        <v>66</v>
      </c>
      <c r="Z16" s="27">
        <f t="shared" si="4"/>
        <v>34</v>
      </c>
      <c r="AA16" s="27">
        <f t="shared" si="5"/>
        <v>0</v>
      </c>
      <c r="AB16" s="26">
        <f t="shared" si="6"/>
        <v>100</v>
      </c>
      <c r="AC16" s="28">
        <f t="shared" si="7"/>
        <v>81.5</v>
      </c>
      <c r="AG16" s="66">
        <f t="shared" si="8"/>
        <v>3</v>
      </c>
      <c r="AH16" s="66">
        <f t="shared" si="8"/>
        <v>16.5</v>
      </c>
      <c r="AI16" s="66">
        <f t="shared" si="8"/>
        <v>60</v>
      </c>
      <c r="AJ16" s="66">
        <f t="shared" si="8"/>
        <v>0</v>
      </c>
      <c r="AK16" s="66">
        <f t="shared" si="8"/>
        <v>0</v>
      </c>
      <c r="AL16" s="66">
        <f t="shared" si="8"/>
        <v>0</v>
      </c>
      <c r="AM16" s="66">
        <f t="shared" si="8"/>
        <v>2</v>
      </c>
      <c r="AN16" s="66">
        <f t="shared" si="8"/>
        <v>0</v>
      </c>
      <c r="AO16" s="66">
        <f t="shared" si="8"/>
        <v>0</v>
      </c>
      <c r="AU16" s="48"/>
      <c r="AV16" s="48"/>
      <c r="AW16" s="48"/>
      <c r="AX16" s="48"/>
      <c r="AY16" s="48"/>
    </row>
    <row r="17" spans="1:51">
      <c r="A17" s="2">
        <f t="shared" si="10"/>
        <v>0.43749999999999994</v>
      </c>
      <c r="B17" s="2">
        <f t="shared" si="1"/>
        <v>0.45833333333333326</v>
      </c>
      <c r="C17" s="19"/>
      <c r="D17" s="19"/>
      <c r="E17" s="20"/>
      <c r="F17" s="20"/>
      <c r="G17" s="20"/>
      <c r="H17" s="20"/>
      <c r="I17" s="20"/>
      <c r="J17" s="20"/>
      <c r="K17" s="20"/>
      <c r="L17" s="20"/>
      <c r="O17" s="29">
        <v>2</v>
      </c>
      <c r="P17" s="29">
        <v>13</v>
      </c>
      <c r="Q17" s="29">
        <v>29</v>
      </c>
      <c r="R17" s="30">
        <f t="shared" si="2"/>
        <v>0</v>
      </c>
      <c r="S17" s="30">
        <f t="shared" si="2"/>
        <v>0</v>
      </c>
      <c r="T17" s="30">
        <f t="shared" si="2"/>
        <v>0</v>
      </c>
      <c r="U17" s="30">
        <f t="shared" si="2"/>
        <v>0</v>
      </c>
      <c r="V17" s="30">
        <f t="shared" si="2"/>
        <v>0</v>
      </c>
      <c r="W17" s="30">
        <f t="shared" si="2"/>
        <v>0</v>
      </c>
      <c r="X17" s="30">
        <f t="shared" si="2"/>
        <v>0</v>
      </c>
      <c r="Y17" s="31">
        <f t="shared" si="3"/>
        <v>31</v>
      </c>
      <c r="Z17" s="32">
        <f t="shared" si="4"/>
        <v>13</v>
      </c>
      <c r="AA17" s="32">
        <f t="shared" si="5"/>
        <v>0</v>
      </c>
      <c r="AB17" s="31">
        <f t="shared" si="6"/>
        <v>44</v>
      </c>
      <c r="AC17" s="33">
        <f t="shared" si="7"/>
        <v>36.5</v>
      </c>
      <c r="AG17" s="66">
        <f t="shared" si="8"/>
        <v>1</v>
      </c>
      <c r="AH17" s="66">
        <f t="shared" si="8"/>
        <v>6.5</v>
      </c>
      <c r="AI17" s="66">
        <f t="shared" si="8"/>
        <v>29</v>
      </c>
      <c r="AJ17" s="66">
        <f t="shared" si="8"/>
        <v>0</v>
      </c>
      <c r="AK17" s="66">
        <f t="shared" si="8"/>
        <v>0</v>
      </c>
      <c r="AL17" s="66">
        <f t="shared" si="8"/>
        <v>0</v>
      </c>
      <c r="AM17" s="66">
        <f t="shared" si="8"/>
        <v>0</v>
      </c>
      <c r="AN17" s="66">
        <f t="shared" si="8"/>
        <v>0</v>
      </c>
      <c r="AO17" s="66">
        <f t="shared" si="8"/>
        <v>0</v>
      </c>
      <c r="AU17" s="48"/>
      <c r="AV17" s="48"/>
      <c r="AW17" s="48"/>
      <c r="AX17" s="48"/>
      <c r="AY17" s="48"/>
    </row>
    <row r="18" spans="1:51">
      <c r="A18" s="3">
        <f t="shared" si="10"/>
        <v>0.45833333333333326</v>
      </c>
      <c r="B18" s="3">
        <f t="shared" si="1"/>
        <v>0.47916666666666657</v>
      </c>
      <c r="C18" s="21"/>
      <c r="D18" s="21"/>
      <c r="E18" s="22"/>
      <c r="F18" s="22"/>
      <c r="G18" s="22"/>
      <c r="H18" s="22"/>
      <c r="I18" s="22"/>
      <c r="J18" s="22"/>
      <c r="K18" s="22"/>
      <c r="L18" s="22"/>
      <c r="O18" s="34">
        <v>3</v>
      </c>
      <c r="P18" s="34">
        <v>19</v>
      </c>
      <c r="Q18" s="34">
        <v>36</v>
      </c>
      <c r="R18" s="35">
        <f t="shared" si="2"/>
        <v>0</v>
      </c>
      <c r="S18" s="35">
        <f t="shared" si="2"/>
        <v>0</v>
      </c>
      <c r="T18" s="35">
        <f t="shared" si="2"/>
        <v>0</v>
      </c>
      <c r="U18" s="35">
        <v>1</v>
      </c>
      <c r="V18" s="35">
        <f t="shared" si="2"/>
        <v>0</v>
      </c>
      <c r="W18" s="35">
        <f t="shared" si="2"/>
        <v>0</v>
      </c>
      <c r="X18" s="35">
        <f t="shared" si="2"/>
        <v>0</v>
      </c>
      <c r="Y18" s="36">
        <f t="shared" si="3"/>
        <v>39</v>
      </c>
      <c r="Z18" s="37">
        <f t="shared" si="4"/>
        <v>20</v>
      </c>
      <c r="AA18" s="37">
        <f t="shared" si="5"/>
        <v>0</v>
      </c>
      <c r="AB18" s="36">
        <f t="shared" si="6"/>
        <v>59</v>
      </c>
      <c r="AC18" s="38">
        <f t="shared" si="7"/>
        <v>49</v>
      </c>
      <c r="AG18" s="66">
        <f t="shared" si="8"/>
        <v>1.5</v>
      </c>
      <c r="AH18" s="66">
        <f t="shared" si="8"/>
        <v>9.5</v>
      </c>
      <c r="AI18" s="66">
        <f t="shared" si="8"/>
        <v>36</v>
      </c>
      <c r="AJ18" s="66">
        <f t="shared" si="8"/>
        <v>0</v>
      </c>
      <c r="AK18" s="66">
        <f t="shared" si="8"/>
        <v>0</v>
      </c>
      <c r="AL18" s="66">
        <f t="shared" si="8"/>
        <v>0</v>
      </c>
      <c r="AM18" s="66">
        <f t="shared" si="8"/>
        <v>2</v>
      </c>
      <c r="AN18" s="66">
        <f t="shared" si="8"/>
        <v>0</v>
      </c>
      <c r="AO18" s="66">
        <f t="shared" si="8"/>
        <v>0</v>
      </c>
      <c r="AQ18" s="49">
        <f t="shared" ref="AQ18:AY18" si="12">SUM(O18:O21)</f>
        <v>17</v>
      </c>
      <c r="AR18" s="49">
        <f t="shared" si="12"/>
        <v>128</v>
      </c>
      <c r="AS18" s="49">
        <f t="shared" si="12"/>
        <v>161</v>
      </c>
      <c r="AT18" s="49">
        <f t="shared" si="12"/>
        <v>0</v>
      </c>
      <c r="AU18" s="49">
        <f t="shared" si="12"/>
        <v>0</v>
      </c>
      <c r="AV18" s="49">
        <f t="shared" si="12"/>
        <v>0</v>
      </c>
      <c r="AW18" s="49">
        <f t="shared" si="12"/>
        <v>1</v>
      </c>
      <c r="AX18" s="49">
        <f t="shared" si="12"/>
        <v>1</v>
      </c>
      <c r="AY18" s="49">
        <f t="shared" si="12"/>
        <v>0</v>
      </c>
    </row>
    <row r="19" spans="1:51">
      <c r="A19" s="1">
        <f t="shared" si="10"/>
        <v>0.47916666666666657</v>
      </c>
      <c r="B19" s="1">
        <f t="shared" si="1"/>
        <v>0.49999999999999989</v>
      </c>
      <c r="C19" s="17"/>
      <c r="D19" s="17"/>
      <c r="E19" s="18"/>
      <c r="F19" s="18"/>
      <c r="G19" s="18"/>
      <c r="H19" s="18"/>
      <c r="I19" s="18"/>
      <c r="J19" s="18"/>
      <c r="K19" s="18"/>
      <c r="L19" s="18"/>
      <c r="O19" s="24">
        <v>8</v>
      </c>
      <c r="P19" s="24">
        <v>29</v>
      </c>
      <c r="Q19" s="24">
        <v>26</v>
      </c>
      <c r="R19" s="25">
        <f t="shared" si="2"/>
        <v>0</v>
      </c>
      <c r="S19" s="25">
        <f t="shared" si="2"/>
        <v>0</v>
      </c>
      <c r="T19" s="25">
        <f t="shared" si="2"/>
        <v>0</v>
      </c>
      <c r="U19" s="25">
        <f t="shared" si="2"/>
        <v>0</v>
      </c>
      <c r="V19" s="25">
        <v>1</v>
      </c>
      <c r="W19" s="25">
        <f t="shared" si="2"/>
        <v>0</v>
      </c>
      <c r="X19" s="25">
        <f t="shared" si="2"/>
        <v>0</v>
      </c>
      <c r="Y19" s="26">
        <f t="shared" si="3"/>
        <v>34</v>
      </c>
      <c r="Z19" s="27">
        <f t="shared" si="4"/>
        <v>29</v>
      </c>
      <c r="AA19" s="27">
        <f t="shared" si="5"/>
        <v>1</v>
      </c>
      <c r="AB19" s="26">
        <f t="shared" si="6"/>
        <v>64</v>
      </c>
      <c r="AC19" s="28">
        <f t="shared" si="7"/>
        <v>46</v>
      </c>
      <c r="AG19" s="66">
        <f t="shared" si="8"/>
        <v>4</v>
      </c>
      <c r="AH19" s="66">
        <f t="shared" si="8"/>
        <v>14.5</v>
      </c>
      <c r="AI19" s="66">
        <f t="shared" si="8"/>
        <v>26</v>
      </c>
      <c r="AJ19" s="66">
        <f t="shared" si="8"/>
        <v>0</v>
      </c>
      <c r="AK19" s="66">
        <f t="shared" si="8"/>
        <v>0</v>
      </c>
      <c r="AL19" s="66">
        <f t="shared" si="8"/>
        <v>0</v>
      </c>
      <c r="AM19" s="66">
        <f t="shared" si="8"/>
        <v>0</v>
      </c>
      <c r="AN19" s="66">
        <f t="shared" si="8"/>
        <v>1.5</v>
      </c>
      <c r="AO19" s="66">
        <f t="shared" si="8"/>
        <v>0</v>
      </c>
      <c r="AU19" s="48"/>
      <c r="AV19" s="48"/>
      <c r="AW19" s="48"/>
      <c r="AX19" s="48"/>
      <c r="AY19" s="48"/>
    </row>
    <row r="20" spans="1:51">
      <c r="A20" s="1">
        <f t="shared" si="10"/>
        <v>0.49999999999999989</v>
      </c>
      <c r="B20" s="1">
        <f t="shared" si="1"/>
        <v>0.52083333333333326</v>
      </c>
      <c r="C20" s="17"/>
      <c r="D20" s="17"/>
      <c r="E20" s="18"/>
      <c r="F20" s="18"/>
      <c r="G20" s="18"/>
      <c r="H20" s="18"/>
      <c r="I20" s="18"/>
      <c r="J20" s="18"/>
      <c r="K20" s="18"/>
      <c r="L20" s="18"/>
      <c r="O20" s="24">
        <v>1</v>
      </c>
      <c r="P20" s="24">
        <v>36</v>
      </c>
      <c r="Q20" s="24">
        <v>31</v>
      </c>
      <c r="R20" s="25">
        <f t="shared" si="2"/>
        <v>0</v>
      </c>
      <c r="S20" s="25">
        <f t="shared" si="2"/>
        <v>0</v>
      </c>
      <c r="T20" s="25">
        <f t="shared" si="2"/>
        <v>0</v>
      </c>
      <c r="U20" s="25">
        <f t="shared" si="2"/>
        <v>0</v>
      </c>
      <c r="V20" s="25">
        <f t="shared" si="2"/>
        <v>0</v>
      </c>
      <c r="W20" s="25">
        <f t="shared" si="2"/>
        <v>0</v>
      </c>
      <c r="X20" s="25">
        <f t="shared" si="2"/>
        <v>0</v>
      </c>
      <c r="Y20" s="26">
        <f t="shared" si="3"/>
        <v>32</v>
      </c>
      <c r="Z20" s="27">
        <f t="shared" si="4"/>
        <v>36</v>
      </c>
      <c r="AA20" s="27">
        <f t="shared" si="5"/>
        <v>0</v>
      </c>
      <c r="AB20" s="26">
        <f t="shared" si="6"/>
        <v>68</v>
      </c>
      <c r="AC20" s="28">
        <f t="shared" si="7"/>
        <v>49.5</v>
      </c>
      <c r="AG20" s="66">
        <f t="shared" si="8"/>
        <v>0.5</v>
      </c>
      <c r="AH20" s="66">
        <f t="shared" si="8"/>
        <v>18</v>
      </c>
      <c r="AI20" s="66">
        <f t="shared" si="8"/>
        <v>31</v>
      </c>
      <c r="AJ20" s="66">
        <f t="shared" si="8"/>
        <v>0</v>
      </c>
      <c r="AK20" s="66">
        <f t="shared" si="8"/>
        <v>0</v>
      </c>
      <c r="AL20" s="66">
        <f t="shared" si="8"/>
        <v>0</v>
      </c>
      <c r="AM20" s="66">
        <f t="shared" si="8"/>
        <v>0</v>
      </c>
      <c r="AN20" s="66">
        <f t="shared" si="8"/>
        <v>0</v>
      </c>
      <c r="AO20" s="66">
        <f t="shared" si="8"/>
        <v>0</v>
      </c>
      <c r="AU20" s="48"/>
      <c r="AV20" s="48"/>
      <c r="AW20" s="48"/>
      <c r="AX20" s="48"/>
      <c r="AY20" s="48"/>
    </row>
    <row r="21" spans="1:51">
      <c r="A21" s="2">
        <f t="shared" si="10"/>
        <v>0.52083333333333326</v>
      </c>
      <c r="B21" s="2">
        <f t="shared" si="1"/>
        <v>0.54166666666666663</v>
      </c>
      <c r="C21" s="19"/>
      <c r="D21" s="19"/>
      <c r="E21" s="20"/>
      <c r="F21" s="20"/>
      <c r="G21" s="20"/>
      <c r="H21" s="20"/>
      <c r="I21" s="20"/>
      <c r="J21" s="20"/>
      <c r="K21" s="20"/>
      <c r="L21" s="20"/>
      <c r="O21" s="29">
        <v>5</v>
      </c>
      <c r="P21" s="29">
        <v>44</v>
      </c>
      <c r="Q21" s="29">
        <v>68</v>
      </c>
      <c r="R21" s="30">
        <f t="shared" si="2"/>
        <v>0</v>
      </c>
      <c r="S21" s="30">
        <f t="shared" si="2"/>
        <v>0</v>
      </c>
      <c r="T21" s="30">
        <f t="shared" si="2"/>
        <v>0</v>
      </c>
      <c r="U21" s="30">
        <f t="shared" si="2"/>
        <v>0</v>
      </c>
      <c r="V21" s="30">
        <f t="shared" si="2"/>
        <v>0</v>
      </c>
      <c r="W21" s="30">
        <f t="shared" si="2"/>
        <v>0</v>
      </c>
      <c r="X21" s="30">
        <f t="shared" si="2"/>
        <v>0</v>
      </c>
      <c r="Y21" s="31">
        <f t="shared" si="3"/>
        <v>73</v>
      </c>
      <c r="Z21" s="32">
        <f t="shared" si="4"/>
        <v>44</v>
      </c>
      <c r="AA21" s="32">
        <f t="shared" si="5"/>
        <v>0</v>
      </c>
      <c r="AB21" s="31">
        <f t="shared" si="6"/>
        <v>117</v>
      </c>
      <c r="AC21" s="33">
        <f t="shared" si="7"/>
        <v>92.5</v>
      </c>
      <c r="AG21" s="66">
        <f t="shared" si="8"/>
        <v>2.5</v>
      </c>
      <c r="AH21" s="66">
        <f t="shared" si="8"/>
        <v>22</v>
      </c>
      <c r="AI21" s="66">
        <f t="shared" si="8"/>
        <v>68</v>
      </c>
      <c r="AJ21" s="66">
        <f t="shared" si="8"/>
        <v>0</v>
      </c>
      <c r="AK21" s="66">
        <f t="shared" si="8"/>
        <v>0</v>
      </c>
      <c r="AL21" s="66">
        <f t="shared" si="8"/>
        <v>0</v>
      </c>
      <c r="AM21" s="66">
        <f t="shared" si="8"/>
        <v>0</v>
      </c>
      <c r="AN21" s="66">
        <f t="shared" si="8"/>
        <v>0</v>
      </c>
      <c r="AO21" s="66">
        <f t="shared" si="8"/>
        <v>0</v>
      </c>
      <c r="AU21" s="48"/>
      <c r="AV21" s="48"/>
      <c r="AW21" s="48"/>
      <c r="AX21" s="48"/>
      <c r="AY21" s="48"/>
    </row>
    <row r="22" spans="1:51">
      <c r="A22" s="3">
        <f t="shared" si="10"/>
        <v>0.54166666666666663</v>
      </c>
      <c r="B22" s="3">
        <f t="shared" si="1"/>
        <v>0.5625</v>
      </c>
      <c r="C22" s="21"/>
      <c r="D22" s="21"/>
      <c r="E22" s="22"/>
      <c r="F22" s="22"/>
      <c r="G22" s="22"/>
      <c r="H22" s="22"/>
      <c r="I22" s="22"/>
      <c r="J22" s="22"/>
      <c r="K22" s="22"/>
      <c r="L22" s="22"/>
      <c r="O22" s="34">
        <v>3</v>
      </c>
      <c r="P22" s="34">
        <v>53</v>
      </c>
      <c r="Q22" s="34">
        <v>42</v>
      </c>
      <c r="R22" s="35">
        <f t="shared" si="2"/>
        <v>0</v>
      </c>
      <c r="S22" s="35">
        <f t="shared" si="2"/>
        <v>0</v>
      </c>
      <c r="T22" s="35">
        <f t="shared" si="2"/>
        <v>0</v>
      </c>
      <c r="U22" s="35">
        <f t="shared" si="2"/>
        <v>0</v>
      </c>
      <c r="V22" s="35">
        <f t="shared" si="2"/>
        <v>0</v>
      </c>
      <c r="W22" s="35">
        <f t="shared" si="2"/>
        <v>0</v>
      </c>
      <c r="X22" s="35">
        <f t="shared" si="2"/>
        <v>0</v>
      </c>
      <c r="Y22" s="36">
        <f t="shared" si="3"/>
        <v>45</v>
      </c>
      <c r="Z22" s="37">
        <f t="shared" si="4"/>
        <v>53</v>
      </c>
      <c r="AA22" s="37">
        <f t="shared" si="5"/>
        <v>0</v>
      </c>
      <c r="AB22" s="36">
        <f t="shared" si="6"/>
        <v>98</v>
      </c>
      <c r="AC22" s="38">
        <f t="shared" si="7"/>
        <v>70</v>
      </c>
      <c r="AG22" s="66">
        <f t="shared" si="8"/>
        <v>1.5</v>
      </c>
      <c r="AH22" s="66">
        <f t="shared" si="8"/>
        <v>26.5</v>
      </c>
      <c r="AI22" s="66">
        <f t="shared" si="8"/>
        <v>42</v>
      </c>
      <c r="AJ22" s="66">
        <f t="shared" si="8"/>
        <v>0</v>
      </c>
      <c r="AK22" s="66">
        <f t="shared" si="8"/>
        <v>0</v>
      </c>
      <c r="AL22" s="66">
        <f t="shared" si="8"/>
        <v>0</v>
      </c>
      <c r="AM22" s="66">
        <f t="shared" si="8"/>
        <v>0</v>
      </c>
      <c r="AN22" s="66">
        <f t="shared" si="8"/>
        <v>0</v>
      </c>
      <c r="AO22" s="66">
        <f t="shared" si="8"/>
        <v>0</v>
      </c>
      <c r="AQ22" s="49">
        <f t="shared" ref="AQ22:AY22" si="13">SUM(O22:O25)</f>
        <v>35</v>
      </c>
      <c r="AR22" s="49">
        <f t="shared" si="13"/>
        <v>130</v>
      </c>
      <c r="AS22" s="49">
        <f t="shared" si="13"/>
        <v>115</v>
      </c>
      <c r="AT22" s="49">
        <f t="shared" si="13"/>
        <v>0</v>
      </c>
      <c r="AU22" s="49">
        <f t="shared" si="13"/>
        <v>0</v>
      </c>
      <c r="AV22" s="49">
        <f t="shared" si="13"/>
        <v>0</v>
      </c>
      <c r="AW22" s="49">
        <f t="shared" si="13"/>
        <v>2</v>
      </c>
      <c r="AX22" s="49">
        <f t="shared" si="13"/>
        <v>1</v>
      </c>
      <c r="AY22" s="49">
        <f t="shared" si="13"/>
        <v>0</v>
      </c>
    </row>
    <row r="23" spans="1:51">
      <c r="A23" s="1">
        <f t="shared" si="10"/>
        <v>0.5625</v>
      </c>
      <c r="B23" s="1">
        <f t="shared" si="1"/>
        <v>0.58333333333333337</v>
      </c>
      <c r="C23" s="17"/>
      <c r="D23" s="17"/>
      <c r="E23" s="18"/>
      <c r="F23" s="18"/>
      <c r="G23" s="18"/>
      <c r="H23" s="18"/>
      <c r="I23" s="18"/>
      <c r="J23" s="18"/>
      <c r="K23" s="18"/>
      <c r="L23" s="18"/>
      <c r="O23" s="24">
        <v>9</v>
      </c>
      <c r="P23" s="24">
        <v>22</v>
      </c>
      <c r="Q23" s="24">
        <v>27</v>
      </c>
      <c r="R23" s="25">
        <f t="shared" si="2"/>
        <v>0</v>
      </c>
      <c r="S23" s="25">
        <f t="shared" si="2"/>
        <v>0</v>
      </c>
      <c r="T23" s="25">
        <f t="shared" si="2"/>
        <v>0</v>
      </c>
      <c r="U23" s="25">
        <f t="shared" si="2"/>
        <v>0</v>
      </c>
      <c r="V23" s="25">
        <f t="shared" si="2"/>
        <v>0</v>
      </c>
      <c r="W23" s="25">
        <f t="shared" si="2"/>
        <v>0</v>
      </c>
      <c r="X23" s="25">
        <f t="shared" si="2"/>
        <v>0</v>
      </c>
      <c r="Y23" s="26">
        <f t="shared" si="3"/>
        <v>36</v>
      </c>
      <c r="Z23" s="27">
        <f t="shared" si="4"/>
        <v>22</v>
      </c>
      <c r="AA23" s="27">
        <f t="shared" si="5"/>
        <v>0</v>
      </c>
      <c r="AB23" s="26">
        <f t="shared" si="6"/>
        <v>58</v>
      </c>
      <c r="AC23" s="28">
        <f t="shared" si="7"/>
        <v>42.5</v>
      </c>
      <c r="AG23" s="66">
        <f t="shared" si="8"/>
        <v>4.5</v>
      </c>
      <c r="AH23" s="66">
        <f t="shared" si="8"/>
        <v>11</v>
      </c>
      <c r="AI23" s="66">
        <f t="shared" si="8"/>
        <v>27</v>
      </c>
      <c r="AJ23" s="66">
        <f t="shared" si="8"/>
        <v>0</v>
      </c>
      <c r="AK23" s="66">
        <f t="shared" si="8"/>
        <v>0</v>
      </c>
      <c r="AL23" s="66">
        <f t="shared" si="8"/>
        <v>0</v>
      </c>
      <c r="AM23" s="66">
        <f t="shared" si="8"/>
        <v>0</v>
      </c>
      <c r="AN23" s="66">
        <f t="shared" si="8"/>
        <v>0</v>
      </c>
      <c r="AO23" s="66">
        <f t="shared" si="8"/>
        <v>0</v>
      </c>
      <c r="AU23" s="48"/>
      <c r="AV23" s="48"/>
      <c r="AW23" s="48"/>
      <c r="AX23" s="48"/>
      <c r="AY23" s="48"/>
    </row>
    <row r="24" spans="1:51">
      <c r="A24" s="1">
        <f t="shared" si="10"/>
        <v>0.58333333333333337</v>
      </c>
      <c r="B24" s="1">
        <f t="shared" si="1"/>
        <v>0.60416666666666674</v>
      </c>
      <c r="C24" s="17"/>
      <c r="D24" s="17"/>
      <c r="E24" s="18"/>
      <c r="F24" s="18"/>
      <c r="G24" s="18"/>
      <c r="H24" s="18"/>
      <c r="I24" s="18"/>
      <c r="J24" s="18"/>
      <c r="K24" s="18"/>
      <c r="L24" s="18"/>
      <c r="O24" s="24">
        <v>11</v>
      </c>
      <c r="P24" s="24">
        <v>31</v>
      </c>
      <c r="Q24" s="24">
        <v>34</v>
      </c>
      <c r="R24" s="25">
        <f t="shared" si="2"/>
        <v>0</v>
      </c>
      <c r="S24" s="25">
        <f t="shared" si="2"/>
        <v>0</v>
      </c>
      <c r="T24" s="25">
        <f t="shared" si="2"/>
        <v>0</v>
      </c>
      <c r="U24" s="25">
        <f t="shared" si="2"/>
        <v>0</v>
      </c>
      <c r="V24" s="25">
        <v>1</v>
      </c>
      <c r="W24" s="25">
        <f t="shared" si="2"/>
        <v>0</v>
      </c>
      <c r="X24" s="25">
        <f t="shared" si="2"/>
        <v>0</v>
      </c>
      <c r="Y24" s="26">
        <f t="shared" si="3"/>
        <v>45</v>
      </c>
      <c r="Z24" s="27">
        <f t="shared" si="4"/>
        <v>31</v>
      </c>
      <c r="AA24" s="27">
        <f t="shared" si="5"/>
        <v>1</v>
      </c>
      <c r="AB24" s="26">
        <f t="shared" si="6"/>
        <v>77</v>
      </c>
      <c r="AC24" s="28">
        <f t="shared" si="7"/>
        <v>56.5</v>
      </c>
      <c r="AG24" s="66">
        <f t="shared" si="8"/>
        <v>5.5</v>
      </c>
      <c r="AH24" s="66">
        <f t="shared" si="8"/>
        <v>15.5</v>
      </c>
      <c r="AI24" s="66">
        <f t="shared" si="8"/>
        <v>34</v>
      </c>
      <c r="AJ24" s="66">
        <f t="shared" si="8"/>
        <v>0</v>
      </c>
      <c r="AK24" s="66">
        <f t="shared" si="8"/>
        <v>0</v>
      </c>
      <c r="AL24" s="66">
        <f t="shared" si="8"/>
        <v>0</v>
      </c>
      <c r="AM24" s="66">
        <f t="shared" si="8"/>
        <v>0</v>
      </c>
      <c r="AN24" s="66">
        <f t="shared" si="8"/>
        <v>1.5</v>
      </c>
      <c r="AO24" s="66">
        <f t="shared" si="8"/>
        <v>0</v>
      </c>
      <c r="AU24" s="48"/>
      <c r="AV24" s="48"/>
      <c r="AW24" s="48"/>
      <c r="AX24" s="48"/>
      <c r="AY24" s="48"/>
    </row>
    <row r="25" spans="1:51">
      <c r="A25" s="2">
        <f t="shared" si="10"/>
        <v>0.60416666666666674</v>
      </c>
      <c r="B25" s="2">
        <f t="shared" si="1"/>
        <v>0.62500000000000011</v>
      </c>
      <c r="C25" s="19"/>
      <c r="D25" s="19"/>
      <c r="E25" s="20"/>
      <c r="F25" s="20"/>
      <c r="G25" s="20"/>
      <c r="H25" s="20"/>
      <c r="I25" s="20"/>
      <c r="J25" s="20"/>
      <c r="K25" s="20"/>
      <c r="L25" s="20"/>
      <c r="O25" s="29">
        <v>12</v>
      </c>
      <c r="P25" s="29">
        <v>24</v>
      </c>
      <c r="Q25" s="29">
        <v>12</v>
      </c>
      <c r="R25" s="30">
        <f t="shared" si="2"/>
        <v>0</v>
      </c>
      <c r="S25" s="30">
        <f t="shared" si="2"/>
        <v>0</v>
      </c>
      <c r="T25" s="30">
        <f t="shared" si="2"/>
        <v>0</v>
      </c>
      <c r="U25" s="30">
        <v>2</v>
      </c>
      <c r="V25" s="30">
        <v>0</v>
      </c>
      <c r="W25" s="30">
        <f t="shared" si="2"/>
        <v>0</v>
      </c>
      <c r="X25" s="30">
        <f t="shared" si="2"/>
        <v>0</v>
      </c>
      <c r="Y25" s="31">
        <f t="shared" si="3"/>
        <v>24</v>
      </c>
      <c r="Z25" s="32">
        <f t="shared" si="4"/>
        <v>26</v>
      </c>
      <c r="AA25" s="32">
        <f t="shared" si="5"/>
        <v>0</v>
      </c>
      <c r="AB25" s="31">
        <f t="shared" si="6"/>
        <v>50</v>
      </c>
      <c r="AC25" s="33">
        <f t="shared" si="7"/>
        <v>34</v>
      </c>
      <c r="AG25" s="66">
        <f t="shared" si="8"/>
        <v>6</v>
      </c>
      <c r="AH25" s="66">
        <f t="shared" si="8"/>
        <v>12</v>
      </c>
      <c r="AI25" s="66">
        <f t="shared" si="8"/>
        <v>12</v>
      </c>
      <c r="AJ25" s="66">
        <f t="shared" si="8"/>
        <v>0</v>
      </c>
      <c r="AK25" s="66">
        <f t="shared" si="8"/>
        <v>0</v>
      </c>
      <c r="AL25" s="66">
        <f t="shared" si="8"/>
        <v>0</v>
      </c>
      <c r="AM25" s="66">
        <f t="shared" si="8"/>
        <v>4</v>
      </c>
      <c r="AN25" s="66">
        <f t="shared" si="8"/>
        <v>0</v>
      </c>
      <c r="AO25" s="66">
        <f t="shared" si="8"/>
        <v>0</v>
      </c>
      <c r="AU25" s="48"/>
      <c r="AV25" s="48"/>
      <c r="AW25" s="48"/>
      <c r="AX25" s="48"/>
      <c r="AY25" s="48"/>
    </row>
    <row r="26" spans="1:51">
      <c r="A26" s="3">
        <f t="shared" si="10"/>
        <v>0.62500000000000011</v>
      </c>
      <c r="B26" s="3">
        <f t="shared" si="1"/>
        <v>0.64583333333333348</v>
      </c>
      <c r="C26" s="21"/>
      <c r="D26" s="21"/>
      <c r="E26" s="22"/>
      <c r="F26" s="22"/>
      <c r="G26" s="22"/>
      <c r="H26" s="22"/>
      <c r="I26" s="22"/>
      <c r="J26" s="22"/>
      <c r="K26" s="22"/>
      <c r="L26" s="22"/>
      <c r="O26" s="34">
        <v>10</v>
      </c>
      <c r="P26" s="34">
        <v>20</v>
      </c>
      <c r="Q26" s="34">
        <v>13</v>
      </c>
      <c r="R26" s="35">
        <f t="shared" ref="O26:X47" si="14">F26-F25</f>
        <v>0</v>
      </c>
      <c r="S26" s="35">
        <f t="shared" si="14"/>
        <v>0</v>
      </c>
      <c r="T26" s="35">
        <f t="shared" si="14"/>
        <v>0</v>
      </c>
      <c r="U26" s="35">
        <v>2</v>
      </c>
      <c r="V26" s="35">
        <v>0</v>
      </c>
      <c r="W26" s="35">
        <f t="shared" si="14"/>
        <v>0</v>
      </c>
      <c r="X26" s="35">
        <f t="shared" si="14"/>
        <v>0</v>
      </c>
      <c r="Y26" s="36">
        <f t="shared" si="3"/>
        <v>23</v>
      </c>
      <c r="Z26" s="37">
        <f t="shared" si="4"/>
        <v>22</v>
      </c>
      <c r="AA26" s="37">
        <f t="shared" si="5"/>
        <v>0</v>
      </c>
      <c r="AB26" s="36">
        <f t="shared" si="6"/>
        <v>45</v>
      </c>
      <c r="AC26" s="38">
        <f t="shared" si="7"/>
        <v>32</v>
      </c>
      <c r="AG26" s="66">
        <f t="shared" si="8"/>
        <v>5</v>
      </c>
      <c r="AH26" s="66">
        <f t="shared" si="8"/>
        <v>10</v>
      </c>
      <c r="AI26" s="66">
        <f t="shared" si="8"/>
        <v>13</v>
      </c>
      <c r="AJ26" s="66">
        <f t="shared" si="8"/>
        <v>0</v>
      </c>
      <c r="AK26" s="66">
        <f t="shared" si="8"/>
        <v>0</v>
      </c>
      <c r="AL26" s="66">
        <f t="shared" si="8"/>
        <v>0</v>
      </c>
      <c r="AM26" s="66">
        <f t="shared" si="8"/>
        <v>4</v>
      </c>
      <c r="AN26" s="66">
        <f t="shared" si="8"/>
        <v>0</v>
      </c>
      <c r="AO26" s="66">
        <f t="shared" si="8"/>
        <v>0</v>
      </c>
      <c r="AQ26" s="49">
        <f t="shared" ref="AQ26:AY26" si="15">SUM(O26:O29)</f>
        <v>25</v>
      </c>
      <c r="AR26" s="49">
        <f t="shared" si="15"/>
        <v>99</v>
      </c>
      <c r="AS26" s="49">
        <f t="shared" si="15"/>
        <v>39</v>
      </c>
      <c r="AT26" s="49">
        <f t="shared" si="15"/>
        <v>0</v>
      </c>
      <c r="AU26" s="49">
        <f t="shared" si="15"/>
        <v>0</v>
      </c>
      <c r="AV26" s="49">
        <f t="shared" si="15"/>
        <v>0</v>
      </c>
      <c r="AW26" s="49">
        <f t="shared" si="15"/>
        <v>3</v>
      </c>
      <c r="AX26" s="49">
        <f t="shared" si="15"/>
        <v>1</v>
      </c>
      <c r="AY26" s="49">
        <f t="shared" si="15"/>
        <v>0</v>
      </c>
    </row>
    <row r="27" spans="1:51">
      <c r="A27" s="1">
        <f t="shared" si="10"/>
        <v>0.64583333333333348</v>
      </c>
      <c r="B27" s="1">
        <f t="shared" si="1"/>
        <v>0.66666666666666685</v>
      </c>
      <c r="C27" s="17"/>
      <c r="D27" s="17"/>
      <c r="E27" s="18"/>
      <c r="F27" s="18"/>
      <c r="G27" s="18"/>
      <c r="H27" s="18"/>
      <c r="I27" s="18"/>
      <c r="J27" s="18"/>
      <c r="K27" s="18"/>
      <c r="L27" s="18"/>
      <c r="O27" s="24">
        <v>3</v>
      </c>
      <c r="P27" s="24">
        <v>30</v>
      </c>
      <c r="Q27" s="24">
        <v>11</v>
      </c>
      <c r="R27" s="25">
        <f t="shared" si="14"/>
        <v>0</v>
      </c>
      <c r="S27" s="25">
        <f t="shared" si="14"/>
        <v>0</v>
      </c>
      <c r="T27" s="25">
        <f t="shared" si="14"/>
        <v>0</v>
      </c>
      <c r="U27" s="25">
        <v>0</v>
      </c>
      <c r="V27" s="25">
        <v>0</v>
      </c>
      <c r="W27" s="25">
        <f t="shared" si="14"/>
        <v>0</v>
      </c>
      <c r="X27" s="25">
        <f t="shared" si="14"/>
        <v>0</v>
      </c>
      <c r="Y27" s="26">
        <f t="shared" si="3"/>
        <v>14</v>
      </c>
      <c r="Z27" s="27">
        <f t="shared" si="4"/>
        <v>30</v>
      </c>
      <c r="AA27" s="27">
        <f t="shared" si="5"/>
        <v>0</v>
      </c>
      <c r="AB27" s="26">
        <f t="shared" si="6"/>
        <v>44</v>
      </c>
      <c r="AC27" s="28">
        <f t="shared" si="7"/>
        <v>27.5</v>
      </c>
      <c r="AG27" s="66">
        <f t="shared" si="8"/>
        <v>1.5</v>
      </c>
      <c r="AH27" s="66">
        <f t="shared" si="8"/>
        <v>15</v>
      </c>
      <c r="AI27" s="66">
        <f t="shared" si="8"/>
        <v>11</v>
      </c>
      <c r="AJ27" s="66">
        <f t="shared" si="8"/>
        <v>0</v>
      </c>
      <c r="AK27" s="66">
        <f t="shared" si="8"/>
        <v>0</v>
      </c>
      <c r="AL27" s="66">
        <f t="shared" si="8"/>
        <v>0</v>
      </c>
      <c r="AM27" s="66">
        <f t="shared" si="8"/>
        <v>0</v>
      </c>
      <c r="AN27" s="66">
        <f t="shared" si="8"/>
        <v>0</v>
      </c>
      <c r="AO27" s="66">
        <f t="shared" si="8"/>
        <v>0</v>
      </c>
      <c r="AU27" s="48"/>
      <c r="AV27" s="48"/>
      <c r="AW27" s="48"/>
      <c r="AX27" s="48"/>
      <c r="AY27" s="48"/>
    </row>
    <row r="28" spans="1:51">
      <c r="A28" s="1">
        <f t="shared" si="10"/>
        <v>0.66666666666666685</v>
      </c>
      <c r="B28" s="1">
        <f t="shared" si="1"/>
        <v>0.68750000000000022</v>
      </c>
      <c r="C28" s="17"/>
      <c r="D28" s="17"/>
      <c r="E28" s="18"/>
      <c r="F28" s="18"/>
      <c r="G28" s="18"/>
      <c r="H28" s="18"/>
      <c r="I28" s="18"/>
      <c r="J28" s="18"/>
      <c r="K28" s="18"/>
      <c r="L28" s="18"/>
      <c r="O28" s="24">
        <v>5</v>
      </c>
      <c r="P28" s="24">
        <v>27</v>
      </c>
      <c r="Q28" s="24">
        <v>6</v>
      </c>
      <c r="R28" s="25">
        <f t="shared" si="14"/>
        <v>0</v>
      </c>
      <c r="S28" s="25">
        <f t="shared" si="14"/>
        <v>0</v>
      </c>
      <c r="T28" s="25">
        <f t="shared" si="14"/>
        <v>0</v>
      </c>
      <c r="U28" s="25">
        <v>0</v>
      </c>
      <c r="V28" s="25">
        <v>1</v>
      </c>
      <c r="W28" s="25">
        <f t="shared" si="14"/>
        <v>0</v>
      </c>
      <c r="X28" s="25">
        <f t="shared" si="14"/>
        <v>0</v>
      </c>
      <c r="Y28" s="26">
        <f t="shared" si="3"/>
        <v>11</v>
      </c>
      <c r="Z28" s="27">
        <f t="shared" si="4"/>
        <v>27</v>
      </c>
      <c r="AA28" s="27">
        <f t="shared" si="5"/>
        <v>1</v>
      </c>
      <c r="AB28" s="26">
        <f t="shared" si="6"/>
        <v>39</v>
      </c>
      <c r="AC28" s="28">
        <f t="shared" si="7"/>
        <v>23.5</v>
      </c>
      <c r="AG28" s="66">
        <f t="shared" si="8"/>
        <v>2.5</v>
      </c>
      <c r="AH28" s="66">
        <f t="shared" si="8"/>
        <v>13.5</v>
      </c>
      <c r="AI28" s="66">
        <f t="shared" si="8"/>
        <v>6</v>
      </c>
      <c r="AJ28" s="66">
        <f t="shared" si="8"/>
        <v>0</v>
      </c>
      <c r="AK28" s="66">
        <f t="shared" si="8"/>
        <v>0</v>
      </c>
      <c r="AL28" s="66">
        <f t="shared" si="8"/>
        <v>0</v>
      </c>
      <c r="AM28" s="66">
        <f t="shared" si="8"/>
        <v>0</v>
      </c>
      <c r="AN28" s="66">
        <f t="shared" si="8"/>
        <v>1.5</v>
      </c>
      <c r="AO28" s="66">
        <f t="shared" si="8"/>
        <v>0</v>
      </c>
      <c r="AU28" s="48"/>
      <c r="AV28" s="48"/>
      <c r="AW28" s="48"/>
      <c r="AX28" s="48"/>
      <c r="AY28" s="48"/>
    </row>
    <row r="29" spans="1:51" ht="15.75" thickBot="1">
      <c r="A29" s="4">
        <f t="shared" si="10"/>
        <v>0.68750000000000022</v>
      </c>
      <c r="B29" s="4">
        <f t="shared" si="1"/>
        <v>0.70833333333333359</v>
      </c>
      <c r="C29" s="19"/>
      <c r="D29" s="19"/>
      <c r="E29" s="20"/>
      <c r="F29" s="20"/>
      <c r="G29" s="20"/>
      <c r="H29" s="20"/>
      <c r="I29" s="20"/>
      <c r="J29" s="20"/>
      <c r="K29" s="20"/>
      <c r="L29" s="20"/>
      <c r="O29" s="39">
        <v>7</v>
      </c>
      <c r="P29" s="39">
        <v>22</v>
      </c>
      <c r="Q29" s="39">
        <v>9</v>
      </c>
      <c r="R29" s="40">
        <f t="shared" si="14"/>
        <v>0</v>
      </c>
      <c r="S29" s="40">
        <f t="shared" si="14"/>
        <v>0</v>
      </c>
      <c r="T29" s="40">
        <f t="shared" si="14"/>
        <v>0</v>
      </c>
      <c r="U29" s="40">
        <v>1</v>
      </c>
      <c r="V29" s="40">
        <v>0</v>
      </c>
      <c r="W29" s="40">
        <f t="shared" si="14"/>
        <v>0</v>
      </c>
      <c r="X29" s="40">
        <f t="shared" si="14"/>
        <v>0</v>
      </c>
      <c r="Y29" s="41">
        <f t="shared" si="3"/>
        <v>16</v>
      </c>
      <c r="Z29" s="42">
        <f t="shared" si="4"/>
        <v>23</v>
      </c>
      <c r="AA29" s="42">
        <f t="shared" si="5"/>
        <v>0</v>
      </c>
      <c r="AB29" s="41">
        <f t="shared" si="6"/>
        <v>39</v>
      </c>
      <c r="AC29" s="43">
        <f t="shared" si="7"/>
        <v>25.5</v>
      </c>
      <c r="AG29" s="66">
        <f t="shared" si="8"/>
        <v>3.5</v>
      </c>
      <c r="AH29" s="66">
        <f t="shared" si="8"/>
        <v>11</v>
      </c>
      <c r="AI29" s="66">
        <f t="shared" si="8"/>
        <v>9</v>
      </c>
      <c r="AJ29" s="66">
        <f t="shared" si="8"/>
        <v>0</v>
      </c>
      <c r="AK29" s="66">
        <f t="shared" si="8"/>
        <v>0</v>
      </c>
      <c r="AL29" s="66">
        <f t="shared" si="8"/>
        <v>0</v>
      </c>
      <c r="AM29" s="66">
        <f t="shared" si="8"/>
        <v>2</v>
      </c>
      <c r="AN29" s="66">
        <f t="shared" si="8"/>
        <v>0</v>
      </c>
      <c r="AO29" s="66">
        <f t="shared" si="8"/>
        <v>0</v>
      </c>
      <c r="AU29" s="48"/>
      <c r="AV29" s="48"/>
      <c r="AW29" s="48"/>
      <c r="AX29" s="48"/>
      <c r="AY29" s="48"/>
    </row>
    <row r="30" spans="1:51">
      <c r="A30" s="3">
        <f t="shared" si="10"/>
        <v>0.70833333333333359</v>
      </c>
      <c r="B30" s="3">
        <f t="shared" si="1"/>
        <v>0.72916666666666696</v>
      </c>
      <c r="C30" s="21"/>
      <c r="D30" s="21"/>
      <c r="E30" s="22"/>
      <c r="F30" s="22"/>
      <c r="G30" s="22"/>
      <c r="H30" s="22"/>
      <c r="I30" s="22"/>
      <c r="J30" s="22"/>
      <c r="K30" s="22"/>
      <c r="L30" s="22"/>
      <c r="O30" s="34">
        <v>11</v>
      </c>
      <c r="P30" s="34">
        <v>14</v>
      </c>
      <c r="Q30" s="34">
        <v>7</v>
      </c>
      <c r="R30" s="35">
        <f t="shared" si="14"/>
        <v>0</v>
      </c>
      <c r="S30" s="35">
        <f t="shared" si="14"/>
        <v>0</v>
      </c>
      <c r="T30" s="35">
        <f t="shared" si="14"/>
        <v>0</v>
      </c>
      <c r="U30" s="35">
        <v>0</v>
      </c>
      <c r="V30" s="35">
        <v>2</v>
      </c>
      <c r="W30" s="35">
        <f t="shared" si="14"/>
        <v>0</v>
      </c>
      <c r="X30" s="35">
        <f t="shared" si="14"/>
        <v>0</v>
      </c>
      <c r="Y30" s="36">
        <f t="shared" si="3"/>
        <v>18</v>
      </c>
      <c r="Z30" s="37">
        <f t="shared" si="4"/>
        <v>14</v>
      </c>
      <c r="AA30" s="37">
        <f t="shared" si="5"/>
        <v>2</v>
      </c>
      <c r="AB30" s="36">
        <f t="shared" si="6"/>
        <v>34</v>
      </c>
      <c r="AC30" s="38">
        <f t="shared" si="7"/>
        <v>22.5</v>
      </c>
      <c r="AG30" s="66">
        <f t="shared" si="8"/>
        <v>5.5</v>
      </c>
      <c r="AH30" s="66">
        <f t="shared" si="8"/>
        <v>7</v>
      </c>
      <c r="AI30" s="66">
        <f t="shared" si="8"/>
        <v>7</v>
      </c>
      <c r="AJ30" s="66">
        <f t="shared" si="8"/>
        <v>0</v>
      </c>
      <c r="AK30" s="66">
        <f t="shared" si="8"/>
        <v>0</v>
      </c>
      <c r="AL30" s="66">
        <f t="shared" si="8"/>
        <v>0</v>
      </c>
      <c r="AM30" s="66">
        <f t="shared" si="8"/>
        <v>0</v>
      </c>
      <c r="AN30" s="66">
        <f t="shared" si="8"/>
        <v>3</v>
      </c>
      <c r="AO30" s="66">
        <f t="shared" si="8"/>
        <v>0</v>
      </c>
      <c r="AQ30" s="49">
        <f t="shared" ref="AQ30:AY30" si="16">SUM(O30:O33)</f>
        <v>36</v>
      </c>
      <c r="AR30" s="49">
        <f t="shared" si="16"/>
        <v>46</v>
      </c>
      <c r="AS30" s="49">
        <f t="shared" si="16"/>
        <v>22</v>
      </c>
      <c r="AT30" s="49">
        <f t="shared" si="16"/>
        <v>0</v>
      </c>
      <c r="AU30" s="49">
        <f t="shared" si="16"/>
        <v>0</v>
      </c>
      <c r="AV30" s="49">
        <f t="shared" si="16"/>
        <v>0</v>
      </c>
      <c r="AW30" s="49">
        <f t="shared" si="16"/>
        <v>0</v>
      </c>
      <c r="AX30" s="49">
        <f t="shared" si="16"/>
        <v>3</v>
      </c>
      <c r="AY30" s="49">
        <f t="shared" si="16"/>
        <v>0</v>
      </c>
    </row>
    <row r="31" spans="1:51">
      <c r="A31" s="1">
        <f t="shared" si="10"/>
        <v>0.72916666666666696</v>
      </c>
      <c r="B31" s="1">
        <f t="shared" si="1"/>
        <v>0.75000000000000033</v>
      </c>
      <c r="C31" s="17"/>
      <c r="D31" s="17"/>
      <c r="E31" s="18"/>
      <c r="F31" s="18"/>
      <c r="G31" s="18"/>
      <c r="H31" s="18"/>
      <c r="I31" s="18"/>
      <c r="J31" s="18"/>
      <c r="K31" s="18"/>
      <c r="L31" s="18"/>
      <c r="O31" s="24">
        <v>10</v>
      </c>
      <c r="P31" s="24">
        <v>10</v>
      </c>
      <c r="Q31" s="24">
        <v>6</v>
      </c>
      <c r="R31" s="25">
        <f t="shared" si="14"/>
        <v>0</v>
      </c>
      <c r="S31" s="25">
        <f t="shared" si="14"/>
        <v>0</v>
      </c>
      <c r="T31" s="25">
        <f t="shared" si="14"/>
        <v>0</v>
      </c>
      <c r="U31" s="25">
        <v>0</v>
      </c>
      <c r="V31" s="25">
        <v>1</v>
      </c>
      <c r="W31" s="25">
        <f t="shared" si="14"/>
        <v>0</v>
      </c>
      <c r="X31" s="25">
        <f t="shared" si="14"/>
        <v>0</v>
      </c>
      <c r="Y31" s="26">
        <f t="shared" si="3"/>
        <v>16</v>
      </c>
      <c r="Z31" s="27">
        <f t="shared" si="4"/>
        <v>10</v>
      </c>
      <c r="AA31" s="27">
        <f t="shared" si="5"/>
        <v>1</v>
      </c>
      <c r="AB31" s="26">
        <f t="shared" si="6"/>
        <v>27</v>
      </c>
      <c r="AC31" s="28">
        <f t="shared" si="7"/>
        <v>17.5</v>
      </c>
      <c r="AG31" s="66">
        <f t="shared" si="8"/>
        <v>5</v>
      </c>
      <c r="AH31" s="66">
        <f t="shared" si="8"/>
        <v>5</v>
      </c>
      <c r="AI31" s="66">
        <f t="shared" si="8"/>
        <v>6</v>
      </c>
      <c r="AJ31" s="66">
        <f t="shared" si="8"/>
        <v>0</v>
      </c>
      <c r="AK31" s="66">
        <f t="shared" si="8"/>
        <v>0</v>
      </c>
      <c r="AL31" s="66">
        <f t="shared" si="8"/>
        <v>0</v>
      </c>
      <c r="AM31" s="66">
        <f t="shared" si="8"/>
        <v>0</v>
      </c>
      <c r="AN31" s="66">
        <f t="shared" si="8"/>
        <v>1.5</v>
      </c>
      <c r="AO31" s="66">
        <f t="shared" si="8"/>
        <v>0</v>
      </c>
      <c r="AU31" s="48"/>
      <c r="AV31" s="48"/>
      <c r="AW31" s="48"/>
      <c r="AX31" s="48"/>
      <c r="AY31" s="48"/>
    </row>
    <row r="32" spans="1:51">
      <c r="A32" s="1">
        <f t="shared" si="10"/>
        <v>0.75000000000000033</v>
      </c>
      <c r="B32" s="1">
        <f t="shared" si="1"/>
        <v>0.7708333333333337</v>
      </c>
      <c r="C32" s="17"/>
      <c r="D32" s="17"/>
      <c r="E32" s="18"/>
      <c r="F32" s="18"/>
      <c r="G32" s="18"/>
      <c r="H32" s="18"/>
      <c r="I32" s="18"/>
      <c r="J32" s="18"/>
      <c r="K32" s="18"/>
      <c r="L32" s="18"/>
      <c r="O32" s="24">
        <v>10</v>
      </c>
      <c r="P32" s="24">
        <v>11</v>
      </c>
      <c r="Q32" s="24">
        <v>2</v>
      </c>
      <c r="R32" s="25">
        <f t="shared" si="14"/>
        <v>0</v>
      </c>
      <c r="S32" s="25">
        <f t="shared" si="14"/>
        <v>0</v>
      </c>
      <c r="T32" s="25">
        <f t="shared" si="14"/>
        <v>0</v>
      </c>
      <c r="U32" s="25">
        <v>0</v>
      </c>
      <c r="V32" s="25">
        <f t="shared" si="14"/>
        <v>0</v>
      </c>
      <c r="W32" s="25">
        <f t="shared" si="14"/>
        <v>0</v>
      </c>
      <c r="X32" s="25">
        <f t="shared" si="14"/>
        <v>0</v>
      </c>
      <c r="Y32" s="26">
        <f t="shared" si="3"/>
        <v>12</v>
      </c>
      <c r="Z32" s="27">
        <f t="shared" si="4"/>
        <v>11</v>
      </c>
      <c r="AA32" s="27">
        <f t="shared" si="5"/>
        <v>0</v>
      </c>
      <c r="AB32" s="26">
        <f t="shared" si="6"/>
        <v>23</v>
      </c>
      <c r="AC32" s="28">
        <f t="shared" si="7"/>
        <v>12.5</v>
      </c>
      <c r="AG32" s="66">
        <f t="shared" si="8"/>
        <v>5</v>
      </c>
      <c r="AH32" s="66">
        <f t="shared" si="8"/>
        <v>5.5</v>
      </c>
      <c r="AI32" s="66">
        <f t="shared" si="8"/>
        <v>2</v>
      </c>
      <c r="AJ32" s="66">
        <f t="shared" si="8"/>
        <v>0</v>
      </c>
      <c r="AK32" s="66">
        <f t="shared" si="8"/>
        <v>0</v>
      </c>
      <c r="AL32" s="66">
        <f t="shared" si="8"/>
        <v>0</v>
      </c>
      <c r="AM32" s="66">
        <f t="shared" si="8"/>
        <v>0</v>
      </c>
      <c r="AN32" s="66">
        <f t="shared" si="8"/>
        <v>0</v>
      </c>
      <c r="AO32" s="66">
        <f t="shared" si="8"/>
        <v>0</v>
      </c>
      <c r="AU32" s="48"/>
      <c r="AV32" s="48"/>
      <c r="AW32" s="48"/>
      <c r="AX32" s="48"/>
      <c r="AY32" s="48"/>
    </row>
    <row r="33" spans="1:51">
      <c r="A33" s="2">
        <f t="shared" si="10"/>
        <v>0.7708333333333337</v>
      </c>
      <c r="B33" s="2">
        <f t="shared" si="1"/>
        <v>0.79166666666666707</v>
      </c>
      <c r="C33" s="19"/>
      <c r="D33" s="19"/>
      <c r="E33" s="20"/>
      <c r="F33" s="20"/>
      <c r="G33" s="20"/>
      <c r="H33" s="20"/>
      <c r="I33" s="20"/>
      <c r="J33" s="20"/>
      <c r="K33" s="20"/>
      <c r="L33" s="20"/>
      <c r="O33" s="29">
        <v>5</v>
      </c>
      <c r="P33" s="29">
        <v>11</v>
      </c>
      <c r="Q33" s="29">
        <v>7</v>
      </c>
      <c r="R33" s="30">
        <f t="shared" si="14"/>
        <v>0</v>
      </c>
      <c r="S33" s="30">
        <f t="shared" si="14"/>
        <v>0</v>
      </c>
      <c r="T33" s="30">
        <f t="shared" si="14"/>
        <v>0</v>
      </c>
      <c r="U33" s="30">
        <v>0</v>
      </c>
      <c r="V33" s="30">
        <f t="shared" si="14"/>
        <v>0</v>
      </c>
      <c r="W33" s="30">
        <f t="shared" si="14"/>
        <v>0</v>
      </c>
      <c r="X33" s="30">
        <f t="shared" si="14"/>
        <v>0</v>
      </c>
      <c r="Y33" s="31">
        <f t="shared" si="3"/>
        <v>12</v>
      </c>
      <c r="Z33" s="32">
        <f t="shared" si="4"/>
        <v>11</v>
      </c>
      <c r="AA33" s="32">
        <f t="shared" si="5"/>
        <v>0</v>
      </c>
      <c r="AB33" s="31">
        <f t="shared" si="6"/>
        <v>23</v>
      </c>
      <c r="AC33" s="33">
        <f t="shared" si="7"/>
        <v>15</v>
      </c>
      <c r="AG33" s="66">
        <f t="shared" si="8"/>
        <v>2.5</v>
      </c>
      <c r="AH33" s="66">
        <f t="shared" si="8"/>
        <v>5.5</v>
      </c>
      <c r="AI33" s="66">
        <f t="shared" si="8"/>
        <v>7</v>
      </c>
      <c r="AJ33" s="66">
        <f t="shared" si="8"/>
        <v>0</v>
      </c>
      <c r="AK33" s="66">
        <f t="shared" si="8"/>
        <v>0</v>
      </c>
      <c r="AL33" s="66">
        <f t="shared" si="8"/>
        <v>0</v>
      </c>
      <c r="AM33" s="66">
        <f t="shared" si="8"/>
        <v>0</v>
      </c>
      <c r="AN33" s="66">
        <f t="shared" si="8"/>
        <v>0</v>
      </c>
      <c r="AO33" s="66">
        <f t="shared" si="8"/>
        <v>0</v>
      </c>
      <c r="AU33" s="48"/>
      <c r="AV33" s="48"/>
      <c r="AW33" s="48"/>
      <c r="AX33" s="48"/>
      <c r="AY33" s="48"/>
    </row>
    <row r="34" spans="1:51">
      <c r="A34" s="3">
        <f t="shared" si="10"/>
        <v>0.79166666666666707</v>
      </c>
      <c r="B34" s="3">
        <f t="shared" si="1"/>
        <v>0.81250000000000044</v>
      </c>
      <c r="C34" s="21"/>
      <c r="D34" s="21"/>
      <c r="E34" s="22"/>
      <c r="F34" s="22"/>
      <c r="G34" s="22"/>
      <c r="H34" s="22"/>
      <c r="I34" s="22"/>
      <c r="J34" s="22"/>
      <c r="K34" s="22"/>
      <c r="L34" s="22"/>
      <c r="O34" s="34">
        <v>4</v>
      </c>
      <c r="P34" s="34">
        <v>8</v>
      </c>
      <c r="Q34" s="34">
        <v>4</v>
      </c>
      <c r="R34" s="35">
        <f t="shared" si="14"/>
        <v>0</v>
      </c>
      <c r="S34" s="35">
        <f t="shared" si="14"/>
        <v>0</v>
      </c>
      <c r="T34" s="35">
        <f t="shared" si="14"/>
        <v>0</v>
      </c>
      <c r="U34" s="35">
        <v>1</v>
      </c>
      <c r="V34" s="35">
        <f t="shared" si="14"/>
        <v>0</v>
      </c>
      <c r="W34" s="35">
        <f t="shared" si="14"/>
        <v>0</v>
      </c>
      <c r="X34" s="35">
        <f t="shared" si="14"/>
        <v>0</v>
      </c>
      <c r="Y34" s="36">
        <f t="shared" si="3"/>
        <v>8</v>
      </c>
      <c r="Z34" s="37">
        <f t="shared" si="4"/>
        <v>9</v>
      </c>
      <c r="AA34" s="37">
        <f t="shared" si="5"/>
        <v>0</v>
      </c>
      <c r="AB34" s="36">
        <f t="shared" si="6"/>
        <v>17</v>
      </c>
      <c r="AC34" s="38">
        <f t="shared" si="7"/>
        <v>12</v>
      </c>
      <c r="AG34" s="66">
        <f t="shared" si="8"/>
        <v>2</v>
      </c>
      <c r="AH34" s="66">
        <f t="shared" si="8"/>
        <v>4</v>
      </c>
      <c r="AI34" s="66">
        <f t="shared" si="8"/>
        <v>4</v>
      </c>
      <c r="AJ34" s="66">
        <f t="shared" si="8"/>
        <v>0</v>
      </c>
      <c r="AK34" s="66">
        <f t="shared" si="8"/>
        <v>0</v>
      </c>
      <c r="AL34" s="66">
        <f t="shared" si="8"/>
        <v>0</v>
      </c>
      <c r="AM34" s="66">
        <f t="shared" si="8"/>
        <v>2</v>
      </c>
      <c r="AN34" s="66">
        <f t="shared" si="8"/>
        <v>0</v>
      </c>
      <c r="AO34" s="66">
        <f t="shared" si="8"/>
        <v>0</v>
      </c>
      <c r="AQ34" s="49">
        <f t="shared" ref="AQ34:AY34" si="17">SUM(O34:O37)</f>
        <v>23</v>
      </c>
      <c r="AR34" s="49">
        <f t="shared" si="17"/>
        <v>23</v>
      </c>
      <c r="AS34" s="49">
        <f t="shared" si="17"/>
        <v>10</v>
      </c>
      <c r="AT34" s="49">
        <f t="shared" si="17"/>
        <v>0</v>
      </c>
      <c r="AU34" s="49">
        <f t="shared" si="17"/>
        <v>0</v>
      </c>
      <c r="AV34" s="49">
        <f t="shared" si="17"/>
        <v>0</v>
      </c>
      <c r="AW34" s="49">
        <f t="shared" si="17"/>
        <v>1</v>
      </c>
      <c r="AX34" s="49">
        <f t="shared" si="17"/>
        <v>0</v>
      </c>
      <c r="AY34" s="49">
        <f t="shared" si="17"/>
        <v>0</v>
      </c>
    </row>
    <row r="35" spans="1:51">
      <c r="A35" s="1">
        <f t="shared" si="10"/>
        <v>0.81250000000000044</v>
      </c>
      <c r="B35" s="1">
        <f t="shared" si="1"/>
        <v>0.83333333333333381</v>
      </c>
      <c r="C35" s="17"/>
      <c r="D35" s="17"/>
      <c r="E35" s="18"/>
      <c r="F35" s="18"/>
      <c r="G35" s="18"/>
      <c r="H35" s="18"/>
      <c r="I35" s="18"/>
      <c r="J35" s="18"/>
      <c r="K35" s="18"/>
      <c r="L35" s="18"/>
      <c r="O35" s="24">
        <v>13</v>
      </c>
      <c r="P35" s="24">
        <v>4</v>
      </c>
      <c r="Q35" s="24">
        <v>2</v>
      </c>
      <c r="R35" s="25">
        <f t="shared" si="14"/>
        <v>0</v>
      </c>
      <c r="S35" s="25">
        <f t="shared" si="14"/>
        <v>0</v>
      </c>
      <c r="T35" s="25">
        <f t="shared" si="14"/>
        <v>0</v>
      </c>
      <c r="U35" s="25">
        <f t="shared" si="14"/>
        <v>0</v>
      </c>
      <c r="V35" s="25">
        <f t="shared" si="14"/>
        <v>0</v>
      </c>
      <c r="W35" s="25">
        <f t="shared" si="14"/>
        <v>0</v>
      </c>
      <c r="X35" s="25">
        <f t="shared" si="14"/>
        <v>0</v>
      </c>
      <c r="Y35" s="26">
        <f t="shared" si="3"/>
        <v>15</v>
      </c>
      <c r="Z35" s="27">
        <f t="shared" si="4"/>
        <v>4</v>
      </c>
      <c r="AA35" s="27">
        <f t="shared" si="5"/>
        <v>0</v>
      </c>
      <c r="AB35" s="26">
        <f t="shared" si="6"/>
        <v>19</v>
      </c>
      <c r="AC35" s="28">
        <f t="shared" si="7"/>
        <v>10.5</v>
      </c>
      <c r="AG35" s="66">
        <f t="shared" si="8"/>
        <v>6.5</v>
      </c>
      <c r="AH35" s="66">
        <f t="shared" si="8"/>
        <v>2</v>
      </c>
      <c r="AI35" s="66">
        <f t="shared" si="8"/>
        <v>2</v>
      </c>
      <c r="AJ35" s="66">
        <f t="shared" si="8"/>
        <v>0</v>
      </c>
      <c r="AK35" s="66">
        <f t="shared" si="8"/>
        <v>0</v>
      </c>
      <c r="AL35" s="66">
        <f t="shared" si="8"/>
        <v>0</v>
      </c>
      <c r="AM35" s="66">
        <f t="shared" si="8"/>
        <v>0</v>
      </c>
      <c r="AN35" s="66">
        <f t="shared" si="8"/>
        <v>0</v>
      </c>
      <c r="AO35" s="66">
        <f t="shared" si="8"/>
        <v>0</v>
      </c>
      <c r="AU35" s="48"/>
      <c r="AV35" s="48"/>
      <c r="AW35" s="48"/>
      <c r="AX35" s="48"/>
      <c r="AY35" s="48"/>
    </row>
    <row r="36" spans="1:51">
      <c r="A36" s="1">
        <f t="shared" si="10"/>
        <v>0.83333333333333381</v>
      </c>
      <c r="B36" s="1">
        <f t="shared" si="1"/>
        <v>0.85416666666666718</v>
      </c>
      <c r="C36" s="17"/>
      <c r="D36" s="17"/>
      <c r="E36" s="18"/>
      <c r="F36" s="18"/>
      <c r="G36" s="18"/>
      <c r="H36" s="18"/>
      <c r="I36" s="18"/>
      <c r="J36" s="18"/>
      <c r="K36" s="18"/>
      <c r="L36" s="18"/>
      <c r="O36" s="24">
        <v>3</v>
      </c>
      <c r="P36" s="24">
        <v>1</v>
      </c>
      <c r="Q36" s="24">
        <v>4</v>
      </c>
      <c r="R36" s="25">
        <f t="shared" si="14"/>
        <v>0</v>
      </c>
      <c r="S36" s="25">
        <f t="shared" si="14"/>
        <v>0</v>
      </c>
      <c r="T36" s="25">
        <f t="shared" si="14"/>
        <v>0</v>
      </c>
      <c r="U36" s="25">
        <f t="shared" si="14"/>
        <v>0</v>
      </c>
      <c r="V36" s="25">
        <f t="shared" si="14"/>
        <v>0</v>
      </c>
      <c r="W36" s="25">
        <f t="shared" si="14"/>
        <v>0</v>
      </c>
      <c r="X36" s="25">
        <f t="shared" si="14"/>
        <v>0</v>
      </c>
      <c r="Y36" s="26">
        <f t="shared" si="3"/>
        <v>7</v>
      </c>
      <c r="Z36" s="27">
        <f t="shared" si="4"/>
        <v>1</v>
      </c>
      <c r="AA36" s="27">
        <f t="shared" si="5"/>
        <v>0</v>
      </c>
      <c r="AB36" s="26">
        <f t="shared" si="6"/>
        <v>8</v>
      </c>
      <c r="AC36" s="28">
        <f t="shared" si="7"/>
        <v>6</v>
      </c>
      <c r="AG36" s="66">
        <f t="shared" si="8"/>
        <v>1.5</v>
      </c>
      <c r="AH36" s="66">
        <f t="shared" si="8"/>
        <v>0.5</v>
      </c>
      <c r="AI36" s="66">
        <f t="shared" si="8"/>
        <v>4</v>
      </c>
      <c r="AJ36" s="66">
        <f t="shared" si="8"/>
        <v>0</v>
      </c>
      <c r="AK36" s="66">
        <f t="shared" si="8"/>
        <v>0</v>
      </c>
      <c r="AL36" s="66">
        <f t="shared" si="8"/>
        <v>0</v>
      </c>
      <c r="AM36" s="66">
        <f t="shared" si="8"/>
        <v>0</v>
      </c>
      <c r="AN36" s="66">
        <f t="shared" si="8"/>
        <v>0</v>
      </c>
      <c r="AO36" s="66">
        <f t="shared" si="8"/>
        <v>0</v>
      </c>
      <c r="AU36" s="48"/>
      <c r="AV36" s="48"/>
      <c r="AW36" s="48"/>
      <c r="AX36" s="48"/>
      <c r="AY36" s="48"/>
    </row>
    <row r="37" spans="1:51">
      <c r="A37" s="2">
        <f t="shared" si="10"/>
        <v>0.85416666666666718</v>
      </c>
      <c r="B37" s="2">
        <f t="shared" si="1"/>
        <v>0.87500000000000056</v>
      </c>
      <c r="C37" s="19"/>
      <c r="D37" s="19"/>
      <c r="E37" s="20"/>
      <c r="F37" s="20"/>
      <c r="G37" s="20"/>
      <c r="H37" s="20"/>
      <c r="I37" s="20"/>
      <c r="J37" s="20"/>
      <c r="K37" s="20"/>
      <c r="L37" s="20"/>
      <c r="O37" s="29">
        <v>3</v>
      </c>
      <c r="P37" s="29">
        <v>10</v>
      </c>
      <c r="Q37" s="29">
        <v>0</v>
      </c>
      <c r="R37" s="30">
        <f t="shared" si="14"/>
        <v>0</v>
      </c>
      <c r="S37" s="30">
        <f t="shared" si="14"/>
        <v>0</v>
      </c>
      <c r="T37" s="30">
        <f t="shared" si="14"/>
        <v>0</v>
      </c>
      <c r="U37" s="30">
        <f t="shared" si="14"/>
        <v>0</v>
      </c>
      <c r="V37" s="30">
        <f t="shared" si="14"/>
        <v>0</v>
      </c>
      <c r="W37" s="30">
        <f t="shared" si="14"/>
        <v>0</v>
      </c>
      <c r="X37" s="30">
        <f t="shared" si="14"/>
        <v>0</v>
      </c>
      <c r="Y37" s="31">
        <f t="shared" si="3"/>
        <v>3</v>
      </c>
      <c r="Z37" s="32">
        <f t="shared" si="4"/>
        <v>10</v>
      </c>
      <c r="AA37" s="32">
        <f t="shared" si="5"/>
        <v>0</v>
      </c>
      <c r="AB37" s="31">
        <f t="shared" si="6"/>
        <v>13</v>
      </c>
      <c r="AC37" s="33">
        <f t="shared" si="7"/>
        <v>6.5</v>
      </c>
      <c r="AG37" s="66">
        <f t="shared" si="8"/>
        <v>1.5</v>
      </c>
      <c r="AH37" s="66">
        <f t="shared" si="8"/>
        <v>5</v>
      </c>
      <c r="AI37" s="66">
        <f t="shared" si="8"/>
        <v>0</v>
      </c>
      <c r="AJ37" s="66">
        <f t="shared" si="8"/>
        <v>0</v>
      </c>
      <c r="AK37" s="66">
        <f t="shared" si="8"/>
        <v>0</v>
      </c>
      <c r="AL37" s="66">
        <f t="shared" si="8"/>
        <v>0</v>
      </c>
      <c r="AM37" s="66">
        <f t="shared" si="8"/>
        <v>0</v>
      </c>
      <c r="AN37" s="66">
        <f t="shared" si="8"/>
        <v>0</v>
      </c>
      <c r="AO37" s="66">
        <f t="shared" si="8"/>
        <v>0</v>
      </c>
      <c r="AU37" s="48"/>
      <c r="AV37" s="48"/>
      <c r="AW37" s="48"/>
      <c r="AX37" s="48"/>
      <c r="AY37" s="48"/>
    </row>
    <row r="38" spans="1:51">
      <c r="A38" s="3">
        <f t="shared" si="10"/>
        <v>0.87500000000000056</v>
      </c>
      <c r="B38" s="3">
        <f t="shared" si="1"/>
        <v>0.89583333333333393</v>
      </c>
      <c r="C38" s="21"/>
      <c r="D38" s="21"/>
      <c r="E38" s="22"/>
      <c r="F38" s="22"/>
      <c r="G38" s="22"/>
      <c r="H38" s="22"/>
      <c r="I38" s="22"/>
      <c r="J38" s="22"/>
      <c r="K38" s="22"/>
      <c r="L38" s="22"/>
      <c r="O38" s="34">
        <f t="shared" si="14"/>
        <v>0</v>
      </c>
      <c r="P38" s="34">
        <f t="shared" si="14"/>
        <v>0</v>
      </c>
      <c r="Q38" s="34">
        <f t="shared" si="14"/>
        <v>0</v>
      </c>
      <c r="R38" s="35">
        <f t="shared" si="14"/>
        <v>0</v>
      </c>
      <c r="S38" s="35">
        <f t="shared" si="14"/>
        <v>0</v>
      </c>
      <c r="T38" s="35">
        <f t="shared" si="14"/>
        <v>0</v>
      </c>
      <c r="U38" s="35">
        <f t="shared" si="14"/>
        <v>0</v>
      </c>
      <c r="V38" s="35">
        <f t="shared" si="14"/>
        <v>0</v>
      </c>
      <c r="W38" s="35">
        <f t="shared" si="14"/>
        <v>0</v>
      </c>
      <c r="X38" s="35">
        <f t="shared" si="14"/>
        <v>0</v>
      </c>
      <c r="Y38" s="36">
        <f t="shared" si="3"/>
        <v>0</v>
      </c>
      <c r="Z38" s="37">
        <f t="shared" si="4"/>
        <v>0</v>
      </c>
      <c r="AA38" s="37">
        <f t="shared" si="5"/>
        <v>0</v>
      </c>
      <c r="AB38" s="36">
        <f t="shared" si="6"/>
        <v>0</v>
      </c>
      <c r="AC38" s="38">
        <f t="shared" si="7"/>
        <v>0</v>
      </c>
      <c r="AG38" s="66">
        <f t="shared" ref="AG38:AO65" si="18">O38*O$8</f>
        <v>0</v>
      </c>
      <c r="AH38" s="66">
        <f t="shared" si="18"/>
        <v>0</v>
      </c>
      <c r="AI38" s="66">
        <f t="shared" si="18"/>
        <v>0</v>
      </c>
      <c r="AJ38" s="66">
        <f t="shared" si="18"/>
        <v>0</v>
      </c>
      <c r="AK38" s="66">
        <f t="shared" si="18"/>
        <v>0</v>
      </c>
      <c r="AL38" s="66">
        <f t="shared" si="18"/>
        <v>0</v>
      </c>
      <c r="AM38" s="66">
        <f t="shared" si="18"/>
        <v>0</v>
      </c>
      <c r="AN38" s="66">
        <f t="shared" si="18"/>
        <v>0</v>
      </c>
      <c r="AO38" s="66">
        <f t="shared" si="18"/>
        <v>0</v>
      </c>
      <c r="AQ38" s="49">
        <f t="shared" ref="AQ38:AY38" si="19">SUM(O38:O41)</f>
        <v>0</v>
      </c>
      <c r="AR38" s="49">
        <f t="shared" si="19"/>
        <v>0</v>
      </c>
      <c r="AS38" s="49">
        <f t="shared" si="19"/>
        <v>0</v>
      </c>
      <c r="AT38" s="49">
        <f t="shared" si="19"/>
        <v>0</v>
      </c>
      <c r="AU38" s="49">
        <f t="shared" si="19"/>
        <v>0</v>
      </c>
      <c r="AV38" s="49">
        <f t="shared" si="19"/>
        <v>0</v>
      </c>
      <c r="AW38" s="49">
        <f t="shared" si="19"/>
        <v>0</v>
      </c>
      <c r="AX38" s="49">
        <f t="shared" si="19"/>
        <v>0</v>
      </c>
      <c r="AY38" s="49">
        <f t="shared" si="19"/>
        <v>0</v>
      </c>
    </row>
    <row r="39" spans="1:51">
      <c r="A39" s="1">
        <f t="shared" si="10"/>
        <v>0.89583333333333393</v>
      </c>
      <c r="B39" s="1">
        <f t="shared" si="1"/>
        <v>0.9166666666666673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O39" s="24">
        <f t="shared" si="14"/>
        <v>0</v>
      </c>
      <c r="P39" s="24">
        <f t="shared" si="14"/>
        <v>0</v>
      </c>
      <c r="Q39" s="24">
        <f t="shared" si="14"/>
        <v>0</v>
      </c>
      <c r="R39" s="25">
        <f t="shared" si="14"/>
        <v>0</v>
      </c>
      <c r="S39" s="25">
        <f t="shared" si="14"/>
        <v>0</v>
      </c>
      <c r="T39" s="25">
        <f t="shared" si="14"/>
        <v>0</v>
      </c>
      <c r="U39" s="25">
        <f t="shared" si="14"/>
        <v>0</v>
      </c>
      <c r="V39" s="25">
        <f t="shared" si="14"/>
        <v>0</v>
      </c>
      <c r="W39" s="25">
        <f t="shared" si="14"/>
        <v>0</v>
      </c>
      <c r="X39" s="25">
        <f t="shared" si="14"/>
        <v>0</v>
      </c>
      <c r="Y39" s="26">
        <f t="shared" si="3"/>
        <v>0</v>
      </c>
      <c r="Z39" s="27">
        <f t="shared" si="4"/>
        <v>0</v>
      </c>
      <c r="AA39" s="27">
        <f t="shared" si="5"/>
        <v>0</v>
      </c>
      <c r="AB39" s="26">
        <f t="shared" si="6"/>
        <v>0</v>
      </c>
      <c r="AC39" s="28">
        <f t="shared" si="7"/>
        <v>0</v>
      </c>
      <c r="AG39" s="66">
        <f t="shared" si="18"/>
        <v>0</v>
      </c>
      <c r="AH39" s="66">
        <f t="shared" si="18"/>
        <v>0</v>
      </c>
      <c r="AI39" s="66">
        <f t="shared" si="18"/>
        <v>0</v>
      </c>
      <c r="AJ39" s="66">
        <f t="shared" si="18"/>
        <v>0</v>
      </c>
      <c r="AK39" s="66">
        <f t="shared" si="18"/>
        <v>0</v>
      </c>
      <c r="AL39" s="66">
        <f t="shared" si="18"/>
        <v>0</v>
      </c>
      <c r="AM39" s="66">
        <f t="shared" si="18"/>
        <v>0</v>
      </c>
      <c r="AN39" s="66">
        <f t="shared" si="18"/>
        <v>0</v>
      </c>
      <c r="AO39" s="66">
        <f t="shared" si="18"/>
        <v>0</v>
      </c>
      <c r="AU39" s="48"/>
      <c r="AV39" s="48"/>
      <c r="AW39" s="48"/>
      <c r="AX39" s="48"/>
      <c r="AY39" s="48"/>
    </row>
    <row r="40" spans="1:51">
      <c r="A40" s="1">
        <f t="shared" si="10"/>
        <v>0.9166666666666673</v>
      </c>
      <c r="B40" s="1">
        <f t="shared" si="1"/>
        <v>0.93750000000000067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O40" s="24">
        <f t="shared" si="14"/>
        <v>0</v>
      </c>
      <c r="P40" s="24">
        <f t="shared" si="14"/>
        <v>0</v>
      </c>
      <c r="Q40" s="24">
        <f t="shared" si="14"/>
        <v>0</v>
      </c>
      <c r="R40" s="25">
        <f t="shared" si="14"/>
        <v>0</v>
      </c>
      <c r="S40" s="25">
        <f t="shared" si="14"/>
        <v>0</v>
      </c>
      <c r="T40" s="25">
        <f t="shared" si="14"/>
        <v>0</v>
      </c>
      <c r="U40" s="25">
        <f t="shared" si="14"/>
        <v>0</v>
      </c>
      <c r="V40" s="25">
        <f t="shared" si="14"/>
        <v>0</v>
      </c>
      <c r="W40" s="25">
        <f t="shared" si="14"/>
        <v>0</v>
      </c>
      <c r="X40" s="25">
        <f t="shared" si="14"/>
        <v>0</v>
      </c>
      <c r="Y40" s="26">
        <f t="shared" si="3"/>
        <v>0</v>
      </c>
      <c r="Z40" s="27">
        <f t="shared" si="4"/>
        <v>0</v>
      </c>
      <c r="AA40" s="27">
        <f t="shared" si="5"/>
        <v>0</v>
      </c>
      <c r="AB40" s="26">
        <f t="shared" si="6"/>
        <v>0</v>
      </c>
      <c r="AC40" s="28">
        <f t="shared" si="7"/>
        <v>0</v>
      </c>
      <c r="AG40" s="66">
        <f t="shared" si="18"/>
        <v>0</v>
      </c>
      <c r="AH40" s="66">
        <f t="shared" si="18"/>
        <v>0</v>
      </c>
      <c r="AI40" s="66">
        <f t="shared" si="18"/>
        <v>0</v>
      </c>
      <c r="AJ40" s="66">
        <f t="shared" si="18"/>
        <v>0</v>
      </c>
      <c r="AK40" s="66">
        <f t="shared" si="18"/>
        <v>0</v>
      </c>
      <c r="AL40" s="66">
        <f t="shared" si="18"/>
        <v>0</v>
      </c>
      <c r="AM40" s="66">
        <f t="shared" si="18"/>
        <v>0</v>
      </c>
      <c r="AN40" s="66">
        <f t="shared" si="18"/>
        <v>0</v>
      </c>
      <c r="AO40" s="66">
        <f t="shared" si="18"/>
        <v>0</v>
      </c>
      <c r="AU40" s="48"/>
      <c r="AV40" s="48"/>
      <c r="AW40" s="48"/>
      <c r="AX40" s="48"/>
      <c r="AY40" s="48"/>
    </row>
    <row r="41" spans="1:51" ht="15.75" thickBot="1">
      <c r="A41" s="4">
        <f t="shared" si="10"/>
        <v>0.93750000000000067</v>
      </c>
      <c r="B41" s="4">
        <f t="shared" si="1"/>
        <v>0.95833333333333404</v>
      </c>
      <c r="C41" s="19"/>
      <c r="D41" s="19"/>
      <c r="E41" s="20"/>
      <c r="F41" s="20"/>
      <c r="G41" s="20"/>
      <c r="H41" s="20"/>
      <c r="I41" s="20"/>
      <c r="J41" s="20"/>
      <c r="K41" s="20"/>
      <c r="L41" s="20"/>
      <c r="O41" s="39">
        <f t="shared" si="14"/>
        <v>0</v>
      </c>
      <c r="P41" s="39">
        <f t="shared" si="14"/>
        <v>0</v>
      </c>
      <c r="Q41" s="39">
        <f t="shared" si="14"/>
        <v>0</v>
      </c>
      <c r="R41" s="40">
        <f t="shared" si="14"/>
        <v>0</v>
      </c>
      <c r="S41" s="40">
        <f t="shared" si="14"/>
        <v>0</v>
      </c>
      <c r="T41" s="40">
        <f t="shared" si="14"/>
        <v>0</v>
      </c>
      <c r="U41" s="40">
        <f t="shared" si="14"/>
        <v>0</v>
      </c>
      <c r="V41" s="40">
        <f t="shared" si="14"/>
        <v>0</v>
      </c>
      <c r="W41" s="40">
        <f t="shared" si="14"/>
        <v>0</v>
      </c>
      <c r="X41" s="40">
        <f t="shared" si="14"/>
        <v>0</v>
      </c>
      <c r="Y41" s="41">
        <f t="shared" si="3"/>
        <v>0</v>
      </c>
      <c r="Z41" s="42">
        <f t="shared" si="4"/>
        <v>0</v>
      </c>
      <c r="AA41" s="42">
        <f t="shared" si="5"/>
        <v>0</v>
      </c>
      <c r="AB41" s="41">
        <f t="shared" si="6"/>
        <v>0</v>
      </c>
      <c r="AC41" s="43">
        <f t="shared" si="7"/>
        <v>0</v>
      </c>
      <c r="AG41" s="66">
        <f t="shared" si="18"/>
        <v>0</v>
      </c>
      <c r="AH41" s="66">
        <f t="shared" si="18"/>
        <v>0</v>
      </c>
      <c r="AI41" s="66">
        <f t="shared" si="18"/>
        <v>0</v>
      </c>
      <c r="AJ41" s="66">
        <f t="shared" si="18"/>
        <v>0</v>
      </c>
      <c r="AK41" s="66">
        <f t="shared" si="18"/>
        <v>0</v>
      </c>
      <c r="AL41" s="66">
        <f t="shared" si="18"/>
        <v>0</v>
      </c>
      <c r="AM41" s="66">
        <f t="shared" si="18"/>
        <v>0</v>
      </c>
      <c r="AN41" s="66">
        <f t="shared" si="18"/>
        <v>0</v>
      </c>
      <c r="AO41" s="66">
        <f t="shared" si="18"/>
        <v>0</v>
      </c>
      <c r="AU41" s="48"/>
      <c r="AV41" s="48"/>
      <c r="AW41" s="48"/>
      <c r="AX41" s="48"/>
      <c r="AY41" s="48"/>
    </row>
    <row r="42" spans="1:51">
      <c r="A42" s="3">
        <f t="shared" si="10"/>
        <v>0.95833333333333404</v>
      </c>
      <c r="B42" s="3">
        <f t="shared" si="1"/>
        <v>0.97916666666666741</v>
      </c>
      <c r="C42" s="21"/>
      <c r="D42" s="21"/>
      <c r="E42" s="22"/>
      <c r="F42" s="22"/>
      <c r="G42" s="22"/>
      <c r="H42" s="22"/>
      <c r="I42" s="22"/>
      <c r="J42" s="22"/>
      <c r="K42" s="22"/>
      <c r="L42" s="22"/>
      <c r="O42" s="34">
        <f t="shared" si="14"/>
        <v>0</v>
      </c>
      <c r="P42" s="34">
        <f t="shared" si="14"/>
        <v>0</v>
      </c>
      <c r="Q42" s="34">
        <f t="shared" si="14"/>
        <v>0</v>
      </c>
      <c r="R42" s="35">
        <f t="shared" si="14"/>
        <v>0</v>
      </c>
      <c r="S42" s="35">
        <f t="shared" si="14"/>
        <v>0</v>
      </c>
      <c r="T42" s="35">
        <f t="shared" si="14"/>
        <v>0</v>
      </c>
      <c r="U42" s="35">
        <f t="shared" si="14"/>
        <v>0</v>
      </c>
      <c r="V42" s="35">
        <f t="shared" si="14"/>
        <v>0</v>
      </c>
      <c r="W42" s="35">
        <f t="shared" si="14"/>
        <v>0</v>
      </c>
      <c r="X42" s="35">
        <f t="shared" si="14"/>
        <v>0</v>
      </c>
      <c r="Y42" s="36">
        <f t="shared" si="3"/>
        <v>0</v>
      </c>
      <c r="Z42" s="37">
        <f t="shared" si="4"/>
        <v>0</v>
      </c>
      <c r="AA42" s="37">
        <f t="shared" si="5"/>
        <v>0</v>
      </c>
      <c r="AB42" s="36">
        <f t="shared" si="6"/>
        <v>0</v>
      </c>
      <c r="AC42" s="38">
        <f t="shared" si="7"/>
        <v>0</v>
      </c>
      <c r="AG42" s="66">
        <f t="shared" si="18"/>
        <v>0</v>
      </c>
      <c r="AH42" s="66">
        <f t="shared" si="18"/>
        <v>0</v>
      </c>
      <c r="AI42" s="66">
        <f t="shared" si="18"/>
        <v>0</v>
      </c>
      <c r="AJ42" s="66">
        <f t="shared" si="18"/>
        <v>0</v>
      </c>
      <c r="AK42" s="66">
        <f t="shared" si="18"/>
        <v>0</v>
      </c>
      <c r="AL42" s="66">
        <f t="shared" si="18"/>
        <v>0</v>
      </c>
      <c r="AM42" s="66">
        <f t="shared" si="18"/>
        <v>0</v>
      </c>
      <c r="AN42" s="66">
        <f t="shared" si="18"/>
        <v>0</v>
      </c>
      <c r="AO42" s="66">
        <f t="shared" si="18"/>
        <v>0</v>
      </c>
      <c r="AQ42" s="49">
        <f t="shared" ref="AQ42:AY42" si="20">SUM(O42:O45)</f>
        <v>0</v>
      </c>
      <c r="AR42" s="49">
        <f t="shared" si="20"/>
        <v>0</v>
      </c>
      <c r="AS42" s="49">
        <f t="shared" si="20"/>
        <v>0</v>
      </c>
      <c r="AT42" s="49">
        <f t="shared" si="20"/>
        <v>0</v>
      </c>
      <c r="AU42" s="49">
        <f t="shared" si="20"/>
        <v>0</v>
      </c>
      <c r="AV42" s="49">
        <f t="shared" si="20"/>
        <v>0</v>
      </c>
      <c r="AW42" s="49">
        <f t="shared" si="20"/>
        <v>0</v>
      </c>
      <c r="AX42" s="49">
        <f t="shared" si="20"/>
        <v>0</v>
      </c>
      <c r="AY42" s="49">
        <f t="shared" si="20"/>
        <v>0</v>
      </c>
    </row>
    <row r="43" spans="1:51">
      <c r="A43" s="1">
        <f t="shared" si="10"/>
        <v>0.97916666666666741</v>
      </c>
      <c r="B43" s="1">
        <f t="shared" si="1"/>
        <v>1.0000000000000007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O43" s="24">
        <f t="shared" si="14"/>
        <v>0</v>
      </c>
      <c r="P43" s="24">
        <f t="shared" si="14"/>
        <v>0</v>
      </c>
      <c r="Q43" s="24">
        <f t="shared" si="14"/>
        <v>0</v>
      </c>
      <c r="R43" s="25">
        <f t="shared" si="14"/>
        <v>0</v>
      </c>
      <c r="S43" s="25">
        <f t="shared" si="14"/>
        <v>0</v>
      </c>
      <c r="T43" s="25">
        <f t="shared" si="14"/>
        <v>0</v>
      </c>
      <c r="U43" s="25">
        <f t="shared" si="14"/>
        <v>0</v>
      </c>
      <c r="V43" s="25">
        <f t="shared" si="14"/>
        <v>0</v>
      </c>
      <c r="W43" s="25">
        <f t="shared" si="14"/>
        <v>0</v>
      </c>
      <c r="X43" s="25">
        <f t="shared" si="14"/>
        <v>0</v>
      </c>
      <c r="Y43" s="26">
        <f t="shared" si="3"/>
        <v>0</v>
      </c>
      <c r="Z43" s="27">
        <f t="shared" si="4"/>
        <v>0</v>
      </c>
      <c r="AA43" s="27">
        <f t="shared" si="5"/>
        <v>0</v>
      </c>
      <c r="AB43" s="26">
        <f t="shared" si="6"/>
        <v>0</v>
      </c>
      <c r="AC43" s="28">
        <f t="shared" si="7"/>
        <v>0</v>
      </c>
      <c r="AG43" s="66">
        <f t="shared" si="18"/>
        <v>0</v>
      </c>
      <c r="AH43" s="66">
        <f t="shared" si="18"/>
        <v>0</v>
      </c>
      <c r="AI43" s="66">
        <f t="shared" si="18"/>
        <v>0</v>
      </c>
      <c r="AJ43" s="66">
        <f t="shared" si="18"/>
        <v>0</v>
      </c>
      <c r="AK43" s="66">
        <f t="shared" si="18"/>
        <v>0</v>
      </c>
      <c r="AL43" s="66">
        <f t="shared" si="18"/>
        <v>0</v>
      </c>
      <c r="AM43" s="66">
        <f t="shared" si="18"/>
        <v>0</v>
      </c>
      <c r="AN43" s="66">
        <f t="shared" si="18"/>
        <v>0</v>
      </c>
      <c r="AO43" s="66">
        <f t="shared" si="18"/>
        <v>0</v>
      </c>
      <c r="AU43" s="48"/>
      <c r="AV43" s="48"/>
      <c r="AW43" s="48"/>
      <c r="AX43" s="48"/>
      <c r="AY43" s="48"/>
    </row>
    <row r="44" spans="1:51">
      <c r="A44" s="1">
        <f t="shared" si="10"/>
        <v>1.0000000000000007</v>
      </c>
      <c r="B44" s="1">
        <f t="shared" si="1"/>
        <v>1.0208333333333339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O44" s="24">
        <f t="shared" si="14"/>
        <v>0</v>
      </c>
      <c r="P44" s="24">
        <f t="shared" si="14"/>
        <v>0</v>
      </c>
      <c r="Q44" s="24">
        <f t="shared" si="14"/>
        <v>0</v>
      </c>
      <c r="R44" s="25">
        <f t="shared" si="14"/>
        <v>0</v>
      </c>
      <c r="S44" s="25">
        <f t="shared" si="14"/>
        <v>0</v>
      </c>
      <c r="T44" s="25">
        <f t="shared" si="14"/>
        <v>0</v>
      </c>
      <c r="U44" s="25">
        <f t="shared" si="14"/>
        <v>0</v>
      </c>
      <c r="V44" s="25">
        <f t="shared" si="14"/>
        <v>0</v>
      </c>
      <c r="W44" s="25">
        <f t="shared" si="14"/>
        <v>0</v>
      </c>
      <c r="X44" s="25">
        <f t="shared" si="14"/>
        <v>0</v>
      </c>
      <c r="Y44" s="26">
        <f t="shared" si="3"/>
        <v>0</v>
      </c>
      <c r="Z44" s="27">
        <f t="shared" si="4"/>
        <v>0</v>
      </c>
      <c r="AA44" s="27">
        <f t="shared" si="5"/>
        <v>0</v>
      </c>
      <c r="AB44" s="26">
        <f t="shared" si="6"/>
        <v>0</v>
      </c>
      <c r="AC44" s="28">
        <f t="shared" si="7"/>
        <v>0</v>
      </c>
      <c r="AG44" s="66">
        <f t="shared" si="18"/>
        <v>0</v>
      </c>
      <c r="AH44" s="66">
        <f t="shared" si="18"/>
        <v>0</v>
      </c>
      <c r="AI44" s="66">
        <f t="shared" si="18"/>
        <v>0</v>
      </c>
      <c r="AJ44" s="66">
        <f t="shared" si="18"/>
        <v>0</v>
      </c>
      <c r="AK44" s="66">
        <f t="shared" si="18"/>
        <v>0</v>
      </c>
      <c r="AL44" s="66">
        <f t="shared" si="18"/>
        <v>0</v>
      </c>
      <c r="AM44" s="66">
        <f t="shared" si="18"/>
        <v>0</v>
      </c>
      <c r="AN44" s="66">
        <f t="shared" si="18"/>
        <v>0</v>
      </c>
      <c r="AO44" s="66">
        <f t="shared" si="18"/>
        <v>0</v>
      </c>
      <c r="AU44" s="48"/>
      <c r="AV44" s="48"/>
      <c r="AW44" s="48"/>
      <c r="AX44" s="48"/>
      <c r="AY44" s="48"/>
    </row>
    <row r="45" spans="1:51">
      <c r="A45" s="2">
        <f t="shared" si="10"/>
        <v>1.0208333333333339</v>
      </c>
      <c r="B45" s="2">
        <f t="shared" si="1"/>
        <v>1.0416666666666672</v>
      </c>
      <c r="C45" s="19"/>
      <c r="D45" s="19"/>
      <c r="E45" s="20"/>
      <c r="F45" s="20"/>
      <c r="G45" s="20"/>
      <c r="H45" s="20"/>
      <c r="I45" s="20"/>
      <c r="J45" s="20"/>
      <c r="K45" s="20"/>
      <c r="L45" s="20"/>
      <c r="O45" s="29">
        <f t="shared" si="14"/>
        <v>0</v>
      </c>
      <c r="P45" s="29">
        <f t="shared" si="14"/>
        <v>0</v>
      </c>
      <c r="Q45" s="29">
        <f t="shared" si="14"/>
        <v>0</v>
      </c>
      <c r="R45" s="30">
        <f t="shared" si="14"/>
        <v>0</v>
      </c>
      <c r="S45" s="30">
        <f t="shared" si="14"/>
        <v>0</v>
      </c>
      <c r="T45" s="30">
        <f t="shared" si="14"/>
        <v>0</v>
      </c>
      <c r="U45" s="30">
        <f t="shared" si="14"/>
        <v>0</v>
      </c>
      <c r="V45" s="30">
        <f t="shared" si="14"/>
        <v>0</v>
      </c>
      <c r="W45" s="30">
        <f t="shared" si="14"/>
        <v>0</v>
      </c>
      <c r="X45" s="30">
        <f t="shared" si="14"/>
        <v>0</v>
      </c>
      <c r="Y45" s="31">
        <f t="shared" si="3"/>
        <v>0</v>
      </c>
      <c r="Z45" s="32">
        <f t="shared" si="4"/>
        <v>0</v>
      </c>
      <c r="AA45" s="32">
        <f t="shared" si="5"/>
        <v>0</v>
      </c>
      <c r="AB45" s="31">
        <f t="shared" si="6"/>
        <v>0</v>
      </c>
      <c r="AC45" s="33">
        <f t="shared" si="7"/>
        <v>0</v>
      </c>
      <c r="AG45" s="66">
        <f t="shared" si="18"/>
        <v>0</v>
      </c>
      <c r="AH45" s="66">
        <f t="shared" si="18"/>
        <v>0</v>
      </c>
      <c r="AI45" s="66">
        <f t="shared" si="18"/>
        <v>0</v>
      </c>
      <c r="AJ45" s="66">
        <f t="shared" si="18"/>
        <v>0</v>
      </c>
      <c r="AK45" s="66">
        <f t="shared" si="18"/>
        <v>0</v>
      </c>
      <c r="AL45" s="66">
        <f t="shared" si="18"/>
        <v>0</v>
      </c>
      <c r="AM45" s="66">
        <f t="shared" si="18"/>
        <v>0</v>
      </c>
      <c r="AN45" s="66">
        <f t="shared" si="18"/>
        <v>0</v>
      </c>
      <c r="AO45" s="66">
        <f t="shared" si="18"/>
        <v>0</v>
      </c>
      <c r="AU45" s="48"/>
      <c r="AV45" s="48"/>
      <c r="AW45" s="48"/>
      <c r="AX45" s="48"/>
      <c r="AY45" s="48"/>
    </row>
    <row r="46" spans="1:51">
      <c r="A46" s="3">
        <f t="shared" si="10"/>
        <v>1.0416666666666672</v>
      </c>
      <c r="B46" s="3">
        <f t="shared" si="1"/>
        <v>1.0625000000000004</v>
      </c>
      <c r="C46" s="21"/>
      <c r="D46" s="21"/>
      <c r="E46" s="22"/>
      <c r="F46" s="22"/>
      <c r="G46" s="22"/>
      <c r="H46" s="22"/>
      <c r="I46" s="22"/>
      <c r="J46" s="22"/>
      <c r="K46" s="22"/>
      <c r="L46" s="22"/>
      <c r="O46" s="34">
        <f t="shared" si="14"/>
        <v>0</v>
      </c>
      <c r="P46" s="34">
        <f t="shared" si="14"/>
        <v>0</v>
      </c>
      <c r="Q46" s="34">
        <f t="shared" si="14"/>
        <v>0</v>
      </c>
      <c r="R46" s="35">
        <f t="shared" si="14"/>
        <v>0</v>
      </c>
      <c r="S46" s="35">
        <f t="shared" si="14"/>
        <v>0</v>
      </c>
      <c r="T46" s="35">
        <f t="shared" si="14"/>
        <v>0</v>
      </c>
      <c r="U46" s="35">
        <f t="shared" si="14"/>
        <v>0</v>
      </c>
      <c r="V46" s="35">
        <f t="shared" si="14"/>
        <v>0</v>
      </c>
      <c r="W46" s="35">
        <f t="shared" si="14"/>
        <v>0</v>
      </c>
      <c r="X46" s="35">
        <f t="shared" si="14"/>
        <v>0</v>
      </c>
      <c r="Y46" s="36">
        <f t="shared" si="3"/>
        <v>0</v>
      </c>
      <c r="Z46" s="37">
        <f t="shared" si="4"/>
        <v>0</v>
      </c>
      <c r="AA46" s="37">
        <f t="shared" si="5"/>
        <v>0</v>
      </c>
      <c r="AB46" s="36">
        <f t="shared" si="6"/>
        <v>0</v>
      </c>
      <c r="AC46" s="38">
        <f t="shared" si="7"/>
        <v>0</v>
      </c>
      <c r="AG46" s="66">
        <f t="shared" si="18"/>
        <v>0</v>
      </c>
      <c r="AH46" s="66">
        <f t="shared" si="18"/>
        <v>0</v>
      </c>
      <c r="AI46" s="66">
        <f t="shared" si="18"/>
        <v>0</v>
      </c>
      <c r="AJ46" s="66">
        <f t="shared" si="18"/>
        <v>0</v>
      </c>
      <c r="AK46" s="66">
        <f t="shared" si="18"/>
        <v>0</v>
      </c>
      <c r="AL46" s="66">
        <f t="shared" si="18"/>
        <v>0</v>
      </c>
      <c r="AM46" s="66">
        <f t="shared" si="18"/>
        <v>0</v>
      </c>
      <c r="AN46" s="66">
        <f t="shared" si="18"/>
        <v>0</v>
      </c>
      <c r="AO46" s="66">
        <f t="shared" si="18"/>
        <v>0</v>
      </c>
      <c r="AQ46" s="49">
        <f t="shared" ref="AQ46:AY46" si="21">SUM(O46:O49)</f>
        <v>0</v>
      </c>
      <c r="AR46" s="49">
        <f t="shared" si="21"/>
        <v>0</v>
      </c>
      <c r="AS46" s="49">
        <f t="shared" si="21"/>
        <v>0</v>
      </c>
      <c r="AT46" s="49">
        <f t="shared" si="21"/>
        <v>0</v>
      </c>
      <c r="AU46" s="49">
        <f t="shared" si="21"/>
        <v>0</v>
      </c>
      <c r="AV46" s="49">
        <f t="shared" si="21"/>
        <v>0</v>
      </c>
      <c r="AW46" s="49">
        <f t="shared" si="21"/>
        <v>0</v>
      </c>
      <c r="AX46" s="49">
        <f t="shared" si="21"/>
        <v>0</v>
      </c>
      <c r="AY46" s="49">
        <f t="shared" si="21"/>
        <v>0</v>
      </c>
    </row>
    <row r="47" spans="1:51">
      <c r="A47" s="1">
        <f t="shared" si="10"/>
        <v>1.0625000000000004</v>
      </c>
      <c r="B47" s="1">
        <f t="shared" si="1"/>
        <v>1.0833333333333337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O47" s="24">
        <f t="shared" si="14"/>
        <v>0</v>
      </c>
      <c r="P47" s="24">
        <f t="shared" si="14"/>
        <v>0</v>
      </c>
      <c r="Q47" s="24">
        <f t="shared" si="14"/>
        <v>0</v>
      </c>
      <c r="R47" s="25">
        <f t="shared" si="14"/>
        <v>0</v>
      </c>
      <c r="S47" s="25">
        <f t="shared" si="14"/>
        <v>0</v>
      </c>
      <c r="T47" s="25">
        <f t="shared" si="14"/>
        <v>0</v>
      </c>
      <c r="U47" s="25">
        <f t="shared" si="14"/>
        <v>0</v>
      </c>
      <c r="V47" s="25">
        <f t="shared" si="14"/>
        <v>0</v>
      </c>
      <c r="W47" s="25">
        <f t="shared" si="14"/>
        <v>0</v>
      </c>
      <c r="X47" s="25">
        <f t="shared" si="14"/>
        <v>0</v>
      </c>
      <c r="Y47" s="26">
        <f t="shared" si="3"/>
        <v>0</v>
      </c>
      <c r="Z47" s="27">
        <f t="shared" si="4"/>
        <v>0</v>
      </c>
      <c r="AA47" s="27">
        <f t="shared" si="5"/>
        <v>0</v>
      </c>
      <c r="AB47" s="26">
        <f t="shared" si="6"/>
        <v>0</v>
      </c>
      <c r="AC47" s="28">
        <f t="shared" si="7"/>
        <v>0</v>
      </c>
      <c r="AG47" s="66">
        <f t="shared" si="18"/>
        <v>0</v>
      </c>
      <c r="AH47" s="66">
        <f t="shared" si="18"/>
        <v>0</v>
      </c>
      <c r="AI47" s="66">
        <f t="shared" si="18"/>
        <v>0</v>
      </c>
      <c r="AJ47" s="66">
        <f t="shared" si="18"/>
        <v>0</v>
      </c>
      <c r="AK47" s="66">
        <f t="shared" si="18"/>
        <v>0</v>
      </c>
      <c r="AL47" s="66">
        <f t="shared" si="18"/>
        <v>0</v>
      </c>
      <c r="AM47" s="66">
        <f t="shared" si="18"/>
        <v>0</v>
      </c>
      <c r="AN47" s="66">
        <f t="shared" si="18"/>
        <v>0</v>
      </c>
      <c r="AO47" s="66">
        <f t="shared" si="18"/>
        <v>0</v>
      </c>
      <c r="AU47" s="48"/>
      <c r="AV47" s="48"/>
      <c r="AW47" s="48"/>
      <c r="AX47" s="48"/>
      <c r="AY47" s="48"/>
    </row>
    <row r="48" spans="1:51">
      <c r="A48" s="1">
        <f t="shared" si="10"/>
        <v>1.0833333333333337</v>
      </c>
      <c r="B48" s="1">
        <f t="shared" si="1"/>
        <v>1.104166666666667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O48" s="24">
        <f t="shared" ref="O48:X65" si="22">C48-C47</f>
        <v>0</v>
      </c>
      <c r="P48" s="24">
        <f t="shared" si="22"/>
        <v>0</v>
      </c>
      <c r="Q48" s="24">
        <f t="shared" si="22"/>
        <v>0</v>
      </c>
      <c r="R48" s="25">
        <f t="shared" si="22"/>
        <v>0</v>
      </c>
      <c r="S48" s="25">
        <f t="shared" si="22"/>
        <v>0</v>
      </c>
      <c r="T48" s="25">
        <f t="shared" si="22"/>
        <v>0</v>
      </c>
      <c r="U48" s="25">
        <f t="shared" si="22"/>
        <v>0</v>
      </c>
      <c r="V48" s="25">
        <f t="shared" si="22"/>
        <v>0</v>
      </c>
      <c r="W48" s="25">
        <f t="shared" si="22"/>
        <v>0</v>
      </c>
      <c r="X48" s="25">
        <f t="shared" si="22"/>
        <v>0</v>
      </c>
      <c r="Y48" s="26">
        <f t="shared" si="3"/>
        <v>0</v>
      </c>
      <c r="Z48" s="27">
        <f t="shared" si="4"/>
        <v>0</v>
      </c>
      <c r="AA48" s="27">
        <f t="shared" si="5"/>
        <v>0</v>
      </c>
      <c r="AB48" s="26">
        <f t="shared" si="6"/>
        <v>0</v>
      </c>
      <c r="AC48" s="28">
        <f t="shared" si="7"/>
        <v>0</v>
      </c>
      <c r="AG48" s="66">
        <f t="shared" si="18"/>
        <v>0</v>
      </c>
      <c r="AH48" s="66">
        <f t="shared" si="18"/>
        <v>0</v>
      </c>
      <c r="AI48" s="66">
        <f t="shared" si="18"/>
        <v>0</v>
      </c>
      <c r="AJ48" s="66">
        <f t="shared" si="18"/>
        <v>0</v>
      </c>
      <c r="AK48" s="66">
        <f t="shared" si="18"/>
        <v>0</v>
      </c>
      <c r="AL48" s="66">
        <f t="shared" si="18"/>
        <v>0</v>
      </c>
      <c r="AM48" s="66">
        <f t="shared" si="18"/>
        <v>0</v>
      </c>
      <c r="AN48" s="66">
        <f t="shared" si="18"/>
        <v>0</v>
      </c>
      <c r="AO48" s="66">
        <f t="shared" si="18"/>
        <v>0</v>
      </c>
      <c r="AU48" s="48"/>
      <c r="AV48" s="48"/>
      <c r="AW48" s="48"/>
      <c r="AX48" s="48"/>
      <c r="AY48" s="48"/>
    </row>
    <row r="49" spans="1:51">
      <c r="A49" s="2">
        <f t="shared" si="10"/>
        <v>1.104166666666667</v>
      </c>
      <c r="B49" s="2">
        <f t="shared" si="1"/>
        <v>1.1250000000000002</v>
      </c>
      <c r="C49" s="19"/>
      <c r="D49" s="19"/>
      <c r="E49" s="20"/>
      <c r="F49" s="20"/>
      <c r="G49" s="20"/>
      <c r="H49" s="20"/>
      <c r="I49" s="20"/>
      <c r="J49" s="20"/>
      <c r="K49" s="20"/>
      <c r="L49" s="20"/>
      <c r="O49" s="29">
        <f t="shared" si="22"/>
        <v>0</v>
      </c>
      <c r="P49" s="29">
        <f t="shared" si="22"/>
        <v>0</v>
      </c>
      <c r="Q49" s="29">
        <f t="shared" si="22"/>
        <v>0</v>
      </c>
      <c r="R49" s="30">
        <f t="shared" si="22"/>
        <v>0</v>
      </c>
      <c r="S49" s="30">
        <f t="shared" si="22"/>
        <v>0</v>
      </c>
      <c r="T49" s="30">
        <f t="shared" si="22"/>
        <v>0</v>
      </c>
      <c r="U49" s="30">
        <f t="shared" si="22"/>
        <v>0</v>
      </c>
      <c r="V49" s="30">
        <f t="shared" si="22"/>
        <v>0</v>
      </c>
      <c r="W49" s="30">
        <f t="shared" si="22"/>
        <v>0</v>
      </c>
      <c r="X49" s="30">
        <f t="shared" si="22"/>
        <v>0</v>
      </c>
      <c r="Y49" s="31">
        <f t="shared" si="3"/>
        <v>0</v>
      </c>
      <c r="Z49" s="32">
        <f t="shared" si="4"/>
        <v>0</v>
      </c>
      <c r="AA49" s="32">
        <f t="shared" si="5"/>
        <v>0</v>
      </c>
      <c r="AB49" s="31">
        <f t="shared" si="6"/>
        <v>0</v>
      </c>
      <c r="AC49" s="33">
        <f t="shared" si="7"/>
        <v>0</v>
      </c>
      <c r="AG49" s="66">
        <f t="shared" si="18"/>
        <v>0</v>
      </c>
      <c r="AH49" s="66">
        <f t="shared" si="18"/>
        <v>0</v>
      </c>
      <c r="AI49" s="66">
        <f t="shared" si="18"/>
        <v>0</v>
      </c>
      <c r="AJ49" s="66">
        <f t="shared" si="18"/>
        <v>0</v>
      </c>
      <c r="AK49" s="66">
        <f t="shared" si="18"/>
        <v>0</v>
      </c>
      <c r="AL49" s="66">
        <f t="shared" si="18"/>
        <v>0</v>
      </c>
      <c r="AM49" s="66">
        <f t="shared" si="18"/>
        <v>0</v>
      </c>
      <c r="AN49" s="66">
        <f t="shared" si="18"/>
        <v>0</v>
      </c>
      <c r="AO49" s="66">
        <f t="shared" si="18"/>
        <v>0</v>
      </c>
      <c r="AU49" s="48"/>
      <c r="AV49" s="48"/>
      <c r="AW49" s="48"/>
      <c r="AX49" s="48"/>
      <c r="AY49" s="48"/>
    </row>
    <row r="50" spans="1:51">
      <c r="A50" s="3">
        <f t="shared" si="10"/>
        <v>1.1250000000000002</v>
      </c>
      <c r="B50" s="3">
        <f t="shared" si="1"/>
        <v>1.1458333333333335</v>
      </c>
      <c r="C50" s="21"/>
      <c r="D50" s="21"/>
      <c r="E50" s="22"/>
      <c r="F50" s="22"/>
      <c r="G50" s="22"/>
      <c r="H50" s="22"/>
      <c r="I50" s="22"/>
      <c r="J50" s="22"/>
      <c r="K50" s="22"/>
      <c r="L50" s="22"/>
      <c r="O50" s="34">
        <f t="shared" si="22"/>
        <v>0</v>
      </c>
      <c r="P50" s="34">
        <f t="shared" si="22"/>
        <v>0</v>
      </c>
      <c r="Q50" s="34">
        <f t="shared" si="22"/>
        <v>0</v>
      </c>
      <c r="R50" s="35">
        <f t="shared" si="22"/>
        <v>0</v>
      </c>
      <c r="S50" s="35">
        <f t="shared" si="22"/>
        <v>0</v>
      </c>
      <c r="T50" s="35">
        <f t="shared" si="22"/>
        <v>0</v>
      </c>
      <c r="U50" s="35">
        <f t="shared" si="22"/>
        <v>0</v>
      </c>
      <c r="V50" s="35">
        <f t="shared" si="22"/>
        <v>0</v>
      </c>
      <c r="W50" s="35">
        <f t="shared" si="22"/>
        <v>0</v>
      </c>
      <c r="X50" s="35">
        <f t="shared" si="22"/>
        <v>0</v>
      </c>
      <c r="Y50" s="36">
        <f t="shared" si="3"/>
        <v>0</v>
      </c>
      <c r="Z50" s="37">
        <f t="shared" si="4"/>
        <v>0</v>
      </c>
      <c r="AA50" s="37">
        <f t="shared" si="5"/>
        <v>0</v>
      </c>
      <c r="AB50" s="36">
        <f t="shared" si="6"/>
        <v>0</v>
      </c>
      <c r="AC50" s="38">
        <f t="shared" si="7"/>
        <v>0</v>
      </c>
      <c r="AG50" s="66">
        <f t="shared" si="18"/>
        <v>0</v>
      </c>
      <c r="AH50" s="66">
        <f t="shared" si="18"/>
        <v>0</v>
      </c>
      <c r="AI50" s="66">
        <f t="shared" si="18"/>
        <v>0</v>
      </c>
      <c r="AJ50" s="66">
        <f t="shared" si="18"/>
        <v>0</v>
      </c>
      <c r="AK50" s="66">
        <f t="shared" si="18"/>
        <v>0</v>
      </c>
      <c r="AL50" s="66">
        <f t="shared" si="18"/>
        <v>0</v>
      </c>
      <c r="AM50" s="66">
        <f t="shared" si="18"/>
        <v>0</v>
      </c>
      <c r="AN50" s="66">
        <f t="shared" si="18"/>
        <v>0</v>
      </c>
      <c r="AO50" s="66">
        <f t="shared" si="18"/>
        <v>0</v>
      </c>
      <c r="AQ50" s="49">
        <f t="shared" ref="AQ50:AY50" si="23">SUM(O50:O53)</f>
        <v>0</v>
      </c>
      <c r="AR50" s="49">
        <f t="shared" si="23"/>
        <v>0</v>
      </c>
      <c r="AS50" s="49">
        <f t="shared" si="23"/>
        <v>0</v>
      </c>
      <c r="AT50" s="49">
        <f t="shared" si="23"/>
        <v>0</v>
      </c>
      <c r="AU50" s="49">
        <f t="shared" si="23"/>
        <v>0</v>
      </c>
      <c r="AV50" s="49">
        <f t="shared" si="23"/>
        <v>0</v>
      </c>
      <c r="AW50" s="49">
        <f t="shared" si="23"/>
        <v>0</v>
      </c>
      <c r="AX50" s="49">
        <f t="shared" si="23"/>
        <v>0</v>
      </c>
      <c r="AY50" s="49">
        <f t="shared" si="23"/>
        <v>0</v>
      </c>
    </row>
    <row r="51" spans="1:51">
      <c r="A51" s="1">
        <f t="shared" si="10"/>
        <v>1.1458333333333335</v>
      </c>
      <c r="B51" s="1">
        <f t="shared" si="1"/>
        <v>1.1666666666666667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O51" s="24">
        <f t="shared" si="22"/>
        <v>0</v>
      </c>
      <c r="P51" s="24">
        <f t="shared" si="22"/>
        <v>0</v>
      </c>
      <c r="Q51" s="24">
        <f t="shared" si="22"/>
        <v>0</v>
      </c>
      <c r="R51" s="25">
        <f t="shared" si="22"/>
        <v>0</v>
      </c>
      <c r="S51" s="25">
        <f t="shared" si="22"/>
        <v>0</v>
      </c>
      <c r="T51" s="25">
        <f t="shared" si="22"/>
        <v>0</v>
      </c>
      <c r="U51" s="25">
        <f t="shared" si="22"/>
        <v>0</v>
      </c>
      <c r="V51" s="25">
        <f t="shared" si="22"/>
        <v>0</v>
      </c>
      <c r="W51" s="25">
        <f t="shared" si="22"/>
        <v>0</v>
      </c>
      <c r="X51" s="25">
        <f t="shared" si="22"/>
        <v>0</v>
      </c>
      <c r="Y51" s="26">
        <f t="shared" si="3"/>
        <v>0</v>
      </c>
      <c r="Z51" s="27">
        <f t="shared" si="4"/>
        <v>0</v>
      </c>
      <c r="AA51" s="27">
        <f t="shared" si="5"/>
        <v>0</v>
      </c>
      <c r="AB51" s="26">
        <f t="shared" si="6"/>
        <v>0</v>
      </c>
      <c r="AC51" s="28">
        <f t="shared" si="7"/>
        <v>0</v>
      </c>
      <c r="AG51" s="66">
        <f t="shared" si="18"/>
        <v>0</v>
      </c>
      <c r="AH51" s="66">
        <f t="shared" si="18"/>
        <v>0</v>
      </c>
      <c r="AI51" s="66">
        <f t="shared" si="18"/>
        <v>0</v>
      </c>
      <c r="AJ51" s="66">
        <f t="shared" si="18"/>
        <v>0</v>
      </c>
      <c r="AK51" s="66">
        <f t="shared" si="18"/>
        <v>0</v>
      </c>
      <c r="AL51" s="66">
        <f t="shared" si="18"/>
        <v>0</v>
      </c>
      <c r="AM51" s="66">
        <f t="shared" si="18"/>
        <v>0</v>
      </c>
      <c r="AN51" s="66">
        <f t="shared" si="18"/>
        <v>0</v>
      </c>
      <c r="AO51" s="66">
        <f t="shared" si="18"/>
        <v>0</v>
      </c>
      <c r="AU51" s="48"/>
      <c r="AV51" s="48"/>
      <c r="AW51" s="48"/>
      <c r="AX51" s="48"/>
      <c r="AY51" s="48"/>
    </row>
    <row r="52" spans="1:51">
      <c r="A52" s="1">
        <f t="shared" si="10"/>
        <v>1.1666666666666667</v>
      </c>
      <c r="B52" s="1">
        <f t="shared" si="1"/>
        <v>1.1875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O52" s="24">
        <f t="shared" si="22"/>
        <v>0</v>
      </c>
      <c r="P52" s="24">
        <f t="shared" si="22"/>
        <v>0</v>
      </c>
      <c r="Q52" s="24">
        <f t="shared" si="22"/>
        <v>0</v>
      </c>
      <c r="R52" s="25">
        <f t="shared" si="22"/>
        <v>0</v>
      </c>
      <c r="S52" s="25">
        <f t="shared" si="22"/>
        <v>0</v>
      </c>
      <c r="T52" s="25">
        <f t="shared" si="22"/>
        <v>0</v>
      </c>
      <c r="U52" s="25">
        <f t="shared" si="22"/>
        <v>0</v>
      </c>
      <c r="V52" s="25">
        <f t="shared" si="22"/>
        <v>0</v>
      </c>
      <c r="W52" s="25">
        <f t="shared" si="22"/>
        <v>0</v>
      </c>
      <c r="X52" s="25">
        <f t="shared" si="22"/>
        <v>0</v>
      </c>
      <c r="Y52" s="26">
        <f t="shared" si="3"/>
        <v>0</v>
      </c>
      <c r="Z52" s="27">
        <f t="shared" si="4"/>
        <v>0</v>
      </c>
      <c r="AA52" s="27">
        <f t="shared" si="5"/>
        <v>0</v>
      </c>
      <c r="AB52" s="26">
        <f t="shared" si="6"/>
        <v>0</v>
      </c>
      <c r="AC52" s="28">
        <f t="shared" si="7"/>
        <v>0</v>
      </c>
      <c r="AG52" s="66">
        <f t="shared" si="18"/>
        <v>0</v>
      </c>
      <c r="AH52" s="66">
        <f t="shared" si="18"/>
        <v>0</v>
      </c>
      <c r="AI52" s="66">
        <f t="shared" si="18"/>
        <v>0</v>
      </c>
      <c r="AJ52" s="66">
        <f t="shared" si="18"/>
        <v>0</v>
      </c>
      <c r="AK52" s="66">
        <f t="shared" si="18"/>
        <v>0</v>
      </c>
      <c r="AL52" s="66">
        <f t="shared" si="18"/>
        <v>0</v>
      </c>
      <c r="AM52" s="66">
        <f t="shared" si="18"/>
        <v>0</v>
      </c>
      <c r="AN52" s="66">
        <f t="shared" si="18"/>
        <v>0</v>
      </c>
      <c r="AO52" s="66">
        <f t="shared" si="18"/>
        <v>0</v>
      </c>
      <c r="AU52" s="48"/>
      <c r="AV52" s="48"/>
      <c r="AW52" s="48"/>
      <c r="AX52" s="48"/>
      <c r="AY52" s="48"/>
    </row>
    <row r="53" spans="1:51" ht="15.75" thickBot="1">
      <c r="A53" s="4">
        <f t="shared" si="10"/>
        <v>1.1875</v>
      </c>
      <c r="B53" s="4">
        <f t="shared" si="1"/>
        <v>1.2083333333333333</v>
      </c>
      <c r="C53" s="19"/>
      <c r="D53" s="19"/>
      <c r="E53" s="20"/>
      <c r="F53" s="20"/>
      <c r="G53" s="20"/>
      <c r="H53" s="20"/>
      <c r="I53" s="20"/>
      <c r="J53" s="20"/>
      <c r="K53" s="20"/>
      <c r="L53" s="20"/>
      <c r="O53" s="39">
        <f t="shared" si="22"/>
        <v>0</v>
      </c>
      <c r="P53" s="39">
        <f t="shared" si="22"/>
        <v>0</v>
      </c>
      <c r="Q53" s="39">
        <f t="shared" si="22"/>
        <v>0</v>
      </c>
      <c r="R53" s="40">
        <f t="shared" si="22"/>
        <v>0</v>
      </c>
      <c r="S53" s="40">
        <f t="shared" si="22"/>
        <v>0</v>
      </c>
      <c r="T53" s="40">
        <f t="shared" si="22"/>
        <v>0</v>
      </c>
      <c r="U53" s="40">
        <f t="shared" si="22"/>
        <v>0</v>
      </c>
      <c r="V53" s="40">
        <f t="shared" si="22"/>
        <v>0</v>
      </c>
      <c r="W53" s="40">
        <f t="shared" si="22"/>
        <v>0</v>
      </c>
      <c r="X53" s="40">
        <f t="shared" si="22"/>
        <v>0</v>
      </c>
      <c r="Y53" s="41">
        <f t="shared" si="3"/>
        <v>0</v>
      </c>
      <c r="Z53" s="42">
        <f t="shared" si="4"/>
        <v>0</v>
      </c>
      <c r="AA53" s="42">
        <f t="shared" si="5"/>
        <v>0</v>
      </c>
      <c r="AB53" s="41">
        <f t="shared" si="6"/>
        <v>0</v>
      </c>
      <c r="AC53" s="43">
        <f t="shared" si="7"/>
        <v>0</v>
      </c>
      <c r="AG53" s="66">
        <f t="shared" si="18"/>
        <v>0</v>
      </c>
      <c r="AH53" s="66">
        <f t="shared" si="18"/>
        <v>0</v>
      </c>
      <c r="AI53" s="66">
        <f t="shared" si="18"/>
        <v>0</v>
      </c>
      <c r="AJ53" s="66">
        <f t="shared" si="18"/>
        <v>0</v>
      </c>
      <c r="AK53" s="66">
        <f t="shared" si="18"/>
        <v>0</v>
      </c>
      <c r="AL53" s="66">
        <f t="shared" si="18"/>
        <v>0</v>
      </c>
      <c r="AM53" s="66">
        <f t="shared" si="18"/>
        <v>0</v>
      </c>
      <c r="AN53" s="66">
        <f t="shared" si="18"/>
        <v>0</v>
      </c>
      <c r="AO53" s="66">
        <f t="shared" si="18"/>
        <v>0</v>
      </c>
      <c r="AU53" s="48"/>
      <c r="AV53" s="48"/>
      <c r="AW53" s="48"/>
      <c r="AX53" s="48"/>
      <c r="AY53" s="48"/>
    </row>
    <row r="54" spans="1:51">
      <c r="A54" s="3">
        <f t="shared" si="10"/>
        <v>1.2083333333333333</v>
      </c>
      <c r="B54" s="3">
        <f t="shared" si="1"/>
        <v>1.2291666666666665</v>
      </c>
      <c r="C54" s="21"/>
      <c r="D54" s="21"/>
      <c r="E54" s="22"/>
      <c r="F54" s="22"/>
      <c r="G54" s="22"/>
      <c r="H54" s="22"/>
      <c r="I54" s="22"/>
      <c r="J54" s="22"/>
      <c r="K54" s="22"/>
      <c r="L54" s="22"/>
      <c r="O54" s="34">
        <f t="shared" si="22"/>
        <v>0</v>
      </c>
      <c r="P54" s="34">
        <f t="shared" si="22"/>
        <v>0</v>
      </c>
      <c r="Q54" s="34">
        <f t="shared" si="22"/>
        <v>0</v>
      </c>
      <c r="R54" s="35">
        <f t="shared" si="22"/>
        <v>0</v>
      </c>
      <c r="S54" s="35">
        <f t="shared" si="22"/>
        <v>0</v>
      </c>
      <c r="T54" s="35">
        <f t="shared" si="22"/>
        <v>0</v>
      </c>
      <c r="U54" s="35">
        <f t="shared" si="22"/>
        <v>0</v>
      </c>
      <c r="V54" s="35">
        <f t="shared" si="22"/>
        <v>0</v>
      </c>
      <c r="W54" s="35">
        <f t="shared" si="22"/>
        <v>0</v>
      </c>
      <c r="X54" s="35">
        <f t="shared" si="22"/>
        <v>0</v>
      </c>
      <c r="Y54" s="36">
        <f t="shared" si="3"/>
        <v>0</v>
      </c>
      <c r="Z54" s="37">
        <f t="shared" si="4"/>
        <v>0</v>
      </c>
      <c r="AA54" s="37">
        <f t="shared" si="5"/>
        <v>0</v>
      </c>
      <c r="AB54" s="36">
        <f t="shared" si="6"/>
        <v>0</v>
      </c>
      <c r="AC54" s="38">
        <f t="shared" si="7"/>
        <v>0</v>
      </c>
      <c r="AG54" s="66">
        <f t="shared" si="18"/>
        <v>0</v>
      </c>
      <c r="AH54" s="66">
        <f t="shared" si="18"/>
        <v>0</v>
      </c>
      <c r="AI54" s="66">
        <f t="shared" si="18"/>
        <v>0</v>
      </c>
      <c r="AJ54" s="66">
        <f t="shared" si="18"/>
        <v>0</v>
      </c>
      <c r="AK54" s="66">
        <f t="shared" si="18"/>
        <v>0</v>
      </c>
      <c r="AL54" s="66">
        <f t="shared" si="18"/>
        <v>0</v>
      </c>
      <c r="AM54" s="66">
        <f t="shared" si="18"/>
        <v>0</v>
      </c>
      <c r="AN54" s="66">
        <f t="shared" si="18"/>
        <v>0</v>
      </c>
      <c r="AO54" s="66">
        <f t="shared" si="18"/>
        <v>0</v>
      </c>
      <c r="AQ54" s="49">
        <f t="shared" ref="AQ54:AY54" si="24">SUM(O54:O57)</f>
        <v>0</v>
      </c>
      <c r="AR54" s="49">
        <f t="shared" si="24"/>
        <v>0</v>
      </c>
      <c r="AS54" s="49">
        <f t="shared" si="24"/>
        <v>0</v>
      </c>
      <c r="AT54" s="49">
        <f t="shared" si="24"/>
        <v>0</v>
      </c>
      <c r="AU54" s="49">
        <f t="shared" si="24"/>
        <v>0</v>
      </c>
      <c r="AV54" s="49">
        <f t="shared" si="24"/>
        <v>0</v>
      </c>
      <c r="AW54" s="49">
        <f t="shared" si="24"/>
        <v>0</v>
      </c>
      <c r="AX54" s="49">
        <f t="shared" si="24"/>
        <v>0</v>
      </c>
      <c r="AY54" s="49">
        <f t="shared" si="24"/>
        <v>0</v>
      </c>
    </row>
    <row r="55" spans="1:51">
      <c r="A55" s="1">
        <f t="shared" si="10"/>
        <v>1.2291666666666665</v>
      </c>
      <c r="B55" s="1">
        <f t="shared" si="1"/>
        <v>1.2499999999999998</v>
      </c>
      <c r="C55" s="17"/>
      <c r="D55" s="17"/>
      <c r="E55" s="18"/>
      <c r="F55" s="18"/>
      <c r="G55" s="18"/>
      <c r="H55" s="18"/>
      <c r="I55" s="18"/>
      <c r="J55" s="18"/>
      <c r="K55" s="18"/>
      <c r="L55" s="18"/>
      <c r="O55" s="24">
        <f t="shared" si="22"/>
        <v>0</v>
      </c>
      <c r="P55" s="24">
        <f t="shared" si="22"/>
        <v>0</v>
      </c>
      <c r="Q55" s="24">
        <f t="shared" si="22"/>
        <v>0</v>
      </c>
      <c r="R55" s="25">
        <f t="shared" si="22"/>
        <v>0</v>
      </c>
      <c r="S55" s="25">
        <f t="shared" si="22"/>
        <v>0</v>
      </c>
      <c r="T55" s="25">
        <f t="shared" si="22"/>
        <v>0</v>
      </c>
      <c r="U55" s="25">
        <f t="shared" si="22"/>
        <v>0</v>
      </c>
      <c r="V55" s="25">
        <f t="shared" si="22"/>
        <v>0</v>
      </c>
      <c r="W55" s="25">
        <f t="shared" si="22"/>
        <v>0</v>
      </c>
      <c r="X55" s="25">
        <f t="shared" si="22"/>
        <v>0</v>
      </c>
      <c r="Y55" s="26">
        <f t="shared" si="3"/>
        <v>0</v>
      </c>
      <c r="Z55" s="27">
        <f t="shared" si="4"/>
        <v>0</v>
      </c>
      <c r="AA55" s="27">
        <f t="shared" si="5"/>
        <v>0</v>
      </c>
      <c r="AB55" s="26">
        <f t="shared" si="6"/>
        <v>0</v>
      </c>
      <c r="AC55" s="28">
        <f t="shared" si="7"/>
        <v>0</v>
      </c>
      <c r="AG55" s="66">
        <f t="shared" si="18"/>
        <v>0</v>
      </c>
      <c r="AH55" s="66">
        <f t="shared" si="18"/>
        <v>0</v>
      </c>
      <c r="AI55" s="66">
        <f t="shared" si="18"/>
        <v>0</v>
      </c>
      <c r="AJ55" s="66">
        <f t="shared" si="18"/>
        <v>0</v>
      </c>
      <c r="AK55" s="66">
        <f t="shared" si="18"/>
        <v>0</v>
      </c>
      <c r="AL55" s="66">
        <f t="shared" si="18"/>
        <v>0</v>
      </c>
      <c r="AM55" s="66">
        <f t="shared" si="18"/>
        <v>0</v>
      </c>
      <c r="AN55" s="66">
        <f t="shared" si="18"/>
        <v>0</v>
      </c>
      <c r="AO55" s="66">
        <f t="shared" si="18"/>
        <v>0</v>
      </c>
      <c r="AU55" s="48"/>
      <c r="AV55" s="48"/>
      <c r="AW55" s="48"/>
      <c r="AX55" s="48"/>
      <c r="AY55" s="48"/>
    </row>
    <row r="56" spans="1:51">
      <c r="A56" s="1">
        <f t="shared" si="10"/>
        <v>1.2499999999999998</v>
      </c>
      <c r="B56" s="1">
        <f t="shared" si="1"/>
        <v>1.270833333333333</v>
      </c>
      <c r="C56" s="17"/>
      <c r="D56" s="17"/>
      <c r="E56" s="18"/>
      <c r="F56" s="18"/>
      <c r="G56" s="18"/>
      <c r="H56" s="18"/>
      <c r="I56" s="18"/>
      <c r="J56" s="18"/>
      <c r="K56" s="18"/>
      <c r="L56" s="18"/>
      <c r="O56" s="24">
        <f t="shared" si="22"/>
        <v>0</v>
      </c>
      <c r="P56" s="24">
        <f t="shared" si="22"/>
        <v>0</v>
      </c>
      <c r="Q56" s="24">
        <f t="shared" si="22"/>
        <v>0</v>
      </c>
      <c r="R56" s="25">
        <f t="shared" si="22"/>
        <v>0</v>
      </c>
      <c r="S56" s="25">
        <f t="shared" si="22"/>
        <v>0</v>
      </c>
      <c r="T56" s="25">
        <f t="shared" si="22"/>
        <v>0</v>
      </c>
      <c r="U56" s="25">
        <f t="shared" si="22"/>
        <v>0</v>
      </c>
      <c r="V56" s="25">
        <f t="shared" si="22"/>
        <v>0</v>
      </c>
      <c r="W56" s="25">
        <f t="shared" si="22"/>
        <v>0</v>
      </c>
      <c r="X56" s="25">
        <f t="shared" si="22"/>
        <v>0</v>
      </c>
      <c r="Y56" s="26">
        <f t="shared" si="3"/>
        <v>0</v>
      </c>
      <c r="Z56" s="27">
        <f t="shared" si="4"/>
        <v>0</v>
      </c>
      <c r="AA56" s="27">
        <f t="shared" si="5"/>
        <v>0</v>
      </c>
      <c r="AB56" s="26">
        <f t="shared" si="6"/>
        <v>0</v>
      </c>
      <c r="AC56" s="28">
        <f t="shared" si="7"/>
        <v>0</v>
      </c>
      <c r="AG56" s="66">
        <f t="shared" si="18"/>
        <v>0</v>
      </c>
      <c r="AH56" s="66">
        <f t="shared" si="18"/>
        <v>0</v>
      </c>
      <c r="AI56" s="66">
        <f t="shared" si="18"/>
        <v>0</v>
      </c>
      <c r="AJ56" s="66">
        <f t="shared" si="18"/>
        <v>0</v>
      </c>
      <c r="AK56" s="66">
        <f t="shared" si="18"/>
        <v>0</v>
      </c>
      <c r="AL56" s="66">
        <f t="shared" si="18"/>
        <v>0</v>
      </c>
      <c r="AM56" s="66">
        <f t="shared" si="18"/>
        <v>0</v>
      </c>
      <c r="AN56" s="66">
        <f t="shared" si="18"/>
        <v>0</v>
      </c>
      <c r="AO56" s="66">
        <f t="shared" si="18"/>
        <v>0</v>
      </c>
      <c r="AU56" s="48"/>
      <c r="AV56" s="48"/>
      <c r="AW56" s="48"/>
      <c r="AX56" s="48"/>
      <c r="AY56" s="48"/>
    </row>
    <row r="57" spans="1:51">
      <c r="A57" s="2">
        <f t="shared" si="10"/>
        <v>1.270833333333333</v>
      </c>
      <c r="B57" s="2">
        <f t="shared" si="1"/>
        <v>1.2916666666666663</v>
      </c>
      <c r="C57" s="19"/>
      <c r="D57" s="19"/>
      <c r="E57" s="20"/>
      <c r="F57" s="20"/>
      <c r="G57" s="20"/>
      <c r="H57" s="20"/>
      <c r="I57" s="20"/>
      <c r="J57" s="20"/>
      <c r="K57" s="20"/>
      <c r="L57" s="20"/>
      <c r="O57" s="29">
        <f t="shared" si="22"/>
        <v>0</v>
      </c>
      <c r="P57" s="29">
        <f t="shared" si="22"/>
        <v>0</v>
      </c>
      <c r="Q57" s="29">
        <f t="shared" si="22"/>
        <v>0</v>
      </c>
      <c r="R57" s="30">
        <f t="shared" si="22"/>
        <v>0</v>
      </c>
      <c r="S57" s="30">
        <f t="shared" si="22"/>
        <v>0</v>
      </c>
      <c r="T57" s="30">
        <f t="shared" si="22"/>
        <v>0</v>
      </c>
      <c r="U57" s="30">
        <f t="shared" si="22"/>
        <v>0</v>
      </c>
      <c r="V57" s="30">
        <f t="shared" si="22"/>
        <v>0</v>
      </c>
      <c r="W57" s="30">
        <f t="shared" si="22"/>
        <v>0</v>
      </c>
      <c r="X57" s="30">
        <f t="shared" si="22"/>
        <v>0</v>
      </c>
      <c r="Y57" s="31">
        <f t="shared" si="3"/>
        <v>0</v>
      </c>
      <c r="Z57" s="32">
        <f t="shared" si="4"/>
        <v>0</v>
      </c>
      <c r="AA57" s="32">
        <f t="shared" si="5"/>
        <v>0</v>
      </c>
      <c r="AB57" s="31">
        <f t="shared" si="6"/>
        <v>0</v>
      </c>
      <c r="AC57" s="33">
        <f t="shared" si="7"/>
        <v>0</v>
      </c>
      <c r="AG57" s="66">
        <f t="shared" si="18"/>
        <v>0</v>
      </c>
      <c r="AH57" s="66">
        <f t="shared" si="18"/>
        <v>0</v>
      </c>
      <c r="AI57" s="66">
        <f t="shared" si="18"/>
        <v>0</v>
      </c>
      <c r="AJ57" s="66">
        <f t="shared" si="18"/>
        <v>0</v>
      </c>
      <c r="AK57" s="66">
        <f t="shared" si="18"/>
        <v>0</v>
      </c>
      <c r="AL57" s="66">
        <f t="shared" si="18"/>
        <v>0</v>
      </c>
      <c r="AM57" s="66">
        <f t="shared" si="18"/>
        <v>0</v>
      </c>
      <c r="AN57" s="66">
        <f t="shared" si="18"/>
        <v>0</v>
      </c>
      <c r="AO57" s="66">
        <f t="shared" si="18"/>
        <v>0</v>
      </c>
      <c r="AU57" s="48"/>
      <c r="AV57" s="48"/>
      <c r="AW57" s="48"/>
      <c r="AX57" s="48"/>
      <c r="AY57" s="48"/>
    </row>
    <row r="58" spans="1:51">
      <c r="A58" s="3">
        <f t="shared" si="10"/>
        <v>1.2916666666666663</v>
      </c>
      <c r="B58" s="3">
        <f t="shared" si="1"/>
        <v>1.3124999999999996</v>
      </c>
      <c r="C58" s="21"/>
      <c r="D58" s="21"/>
      <c r="E58" s="22"/>
      <c r="F58" s="22"/>
      <c r="G58" s="22"/>
      <c r="H58" s="22"/>
      <c r="I58" s="22"/>
      <c r="J58" s="22"/>
      <c r="K58" s="22"/>
      <c r="L58" s="22"/>
      <c r="O58" s="34">
        <f t="shared" si="22"/>
        <v>0</v>
      </c>
      <c r="P58" s="34">
        <f t="shared" si="22"/>
        <v>0</v>
      </c>
      <c r="Q58" s="34">
        <f t="shared" si="22"/>
        <v>0</v>
      </c>
      <c r="R58" s="35">
        <f t="shared" si="22"/>
        <v>0</v>
      </c>
      <c r="S58" s="35">
        <f t="shared" si="22"/>
        <v>0</v>
      </c>
      <c r="T58" s="35">
        <f t="shared" si="22"/>
        <v>0</v>
      </c>
      <c r="U58" s="35">
        <f t="shared" si="22"/>
        <v>0</v>
      </c>
      <c r="V58" s="35">
        <f t="shared" si="22"/>
        <v>0</v>
      </c>
      <c r="W58" s="35">
        <f t="shared" si="22"/>
        <v>0</v>
      </c>
      <c r="X58" s="35">
        <f t="shared" si="22"/>
        <v>0</v>
      </c>
      <c r="Y58" s="36">
        <f t="shared" si="3"/>
        <v>0</v>
      </c>
      <c r="Z58" s="37">
        <f t="shared" si="4"/>
        <v>0</v>
      </c>
      <c r="AA58" s="37">
        <f t="shared" si="5"/>
        <v>0</v>
      </c>
      <c r="AB58" s="36">
        <f t="shared" si="6"/>
        <v>0</v>
      </c>
      <c r="AC58" s="38">
        <f t="shared" si="7"/>
        <v>0</v>
      </c>
      <c r="AG58" s="66">
        <f t="shared" si="18"/>
        <v>0</v>
      </c>
      <c r="AH58" s="66">
        <f t="shared" si="18"/>
        <v>0</v>
      </c>
      <c r="AI58" s="66">
        <f t="shared" si="18"/>
        <v>0</v>
      </c>
      <c r="AJ58" s="66">
        <f t="shared" si="18"/>
        <v>0</v>
      </c>
      <c r="AK58" s="66">
        <f t="shared" si="18"/>
        <v>0</v>
      </c>
      <c r="AL58" s="66">
        <f t="shared" si="18"/>
        <v>0</v>
      </c>
      <c r="AM58" s="66">
        <f t="shared" si="18"/>
        <v>0</v>
      </c>
      <c r="AN58" s="66">
        <f t="shared" si="18"/>
        <v>0</v>
      </c>
      <c r="AO58" s="66">
        <f t="shared" si="18"/>
        <v>0</v>
      </c>
      <c r="AQ58" s="49">
        <f t="shared" ref="AQ58:AY58" si="25">SUM(O58:O61)</f>
        <v>0</v>
      </c>
      <c r="AR58" s="49">
        <f t="shared" si="25"/>
        <v>0</v>
      </c>
      <c r="AS58" s="49">
        <f t="shared" si="25"/>
        <v>0</v>
      </c>
      <c r="AT58" s="49">
        <f t="shared" si="25"/>
        <v>0</v>
      </c>
      <c r="AU58" s="49">
        <f t="shared" si="25"/>
        <v>0</v>
      </c>
      <c r="AV58" s="49">
        <f t="shared" si="25"/>
        <v>0</v>
      </c>
      <c r="AW58" s="49">
        <f t="shared" si="25"/>
        <v>0</v>
      </c>
      <c r="AX58" s="49">
        <f t="shared" si="25"/>
        <v>0</v>
      </c>
      <c r="AY58" s="49">
        <f t="shared" si="25"/>
        <v>0</v>
      </c>
    </row>
    <row r="59" spans="1:51">
      <c r="A59" s="1">
        <f t="shared" si="10"/>
        <v>1.3124999999999996</v>
      </c>
      <c r="B59" s="1">
        <f t="shared" si="1"/>
        <v>1.3333333333333328</v>
      </c>
      <c r="C59" s="17"/>
      <c r="D59" s="17"/>
      <c r="E59" s="18"/>
      <c r="F59" s="18"/>
      <c r="G59" s="18"/>
      <c r="H59" s="18"/>
      <c r="I59" s="18"/>
      <c r="J59" s="18"/>
      <c r="K59" s="18"/>
      <c r="L59" s="18"/>
      <c r="O59" s="24">
        <f t="shared" si="22"/>
        <v>0</v>
      </c>
      <c r="P59" s="24">
        <f t="shared" si="22"/>
        <v>0</v>
      </c>
      <c r="Q59" s="24">
        <f t="shared" si="22"/>
        <v>0</v>
      </c>
      <c r="R59" s="25">
        <f t="shared" si="22"/>
        <v>0</v>
      </c>
      <c r="S59" s="25">
        <f t="shared" si="22"/>
        <v>0</v>
      </c>
      <c r="T59" s="25">
        <f t="shared" si="22"/>
        <v>0</v>
      </c>
      <c r="U59" s="25">
        <f t="shared" si="22"/>
        <v>0</v>
      </c>
      <c r="V59" s="25">
        <f t="shared" si="22"/>
        <v>0</v>
      </c>
      <c r="W59" s="25">
        <f t="shared" si="22"/>
        <v>0</v>
      </c>
      <c r="X59" s="25">
        <f t="shared" si="22"/>
        <v>0</v>
      </c>
      <c r="Y59" s="26">
        <f t="shared" si="3"/>
        <v>0</v>
      </c>
      <c r="Z59" s="27">
        <f t="shared" si="4"/>
        <v>0</v>
      </c>
      <c r="AA59" s="27">
        <f t="shared" si="5"/>
        <v>0</v>
      </c>
      <c r="AB59" s="26">
        <f t="shared" si="6"/>
        <v>0</v>
      </c>
      <c r="AC59" s="28">
        <f t="shared" si="7"/>
        <v>0</v>
      </c>
      <c r="AG59" s="66">
        <f t="shared" si="18"/>
        <v>0</v>
      </c>
      <c r="AH59" s="66">
        <f t="shared" si="18"/>
        <v>0</v>
      </c>
      <c r="AI59" s="66">
        <f t="shared" si="18"/>
        <v>0</v>
      </c>
      <c r="AJ59" s="66">
        <f t="shared" si="18"/>
        <v>0</v>
      </c>
      <c r="AK59" s="66">
        <f t="shared" si="18"/>
        <v>0</v>
      </c>
      <c r="AL59" s="66">
        <f t="shared" si="18"/>
        <v>0</v>
      </c>
      <c r="AM59" s="66">
        <f t="shared" si="18"/>
        <v>0</v>
      </c>
      <c r="AN59" s="66">
        <f t="shared" si="18"/>
        <v>0</v>
      </c>
      <c r="AO59" s="66">
        <f t="shared" si="18"/>
        <v>0</v>
      </c>
      <c r="AU59" s="48"/>
      <c r="AV59" s="48"/>
      <c r="AW59" s="48"/>
      <c r="AX59" s="48"/>
      <c r="AY59" s="48"/>
    </row>
    <row r="60" spans="1:51">
      <c r="A60" s="1">
        <f t="shared" si="10"/>
        <v>1.3333333333333328</v>
      </c>
      <c r="B60" s="1">
        <f t="shared" si="1"/>
        <v>1.3541666666666661</v>
      </c>
      <c r="C60" s="17"/>
      <c r="D60" s="17"/>
      <c r="E60" s="18"/>
      <c r="F60" s="18"/>
      <c r="G60" s="18"/>
      <c r="H60" s="18"/>
      <c r="I60" s="18"/>
      <c r="J60" s="18"/>
      <c r="K60" s="18"/>
      <c r="L60" s="18"/>
      <c r="O60" s="24">
        <f t="shared" si="22"/>
        <v>0</v>
      </c>
      <c r="P60" s="24">
        <f t="shared" si="22"/>
        <v>0</v>
      </c>
      <c r="Q60" s="24">
        <f t="shared" si="22"/>
        <v>0</v>
      </c>
      <c r="R60" s="25">
        <f t="shared" si="22"/>
        <v>0</v>
      </c>
      <c r="S60" s="25">
        <f t="shared" si="22"/>
        <v>0</v>
      </c>
      <c r="T60" s="25">
        <f t="shared" si="22"/>
        <v>0</v>
      </c>
      <c r="U60" s="25">
        <f t="shared" si="22"/>
        <v>0</v>
      </c>
      <c r="V60" s="25">
        <f t="shared" si="22"/>
        <v>0</v>
      </c>
      <c r="W60" s="25">
        <f t="shared" si="22"/>
        <v>0</v>
      </c>
      <c r="X60" s="25">
        <f t="shared" si="22"/>
        <v>0</v>
      </c>
      <c r="Y60" s="26">
        <f t="shared" si="3"/>
        <v>0</v>
      </c>
      <c r="Z60" s="27">
        <f t="shared" si="4"/>
        <v>0</v>
      </c>
      <c r="AA60" s="27">
        <f t="shared" si="5"/>
        <v>0</v>
      </c>
      <c r="AB60" s="26">
        <f t="shared" si="6"/>
        <v>0</v>
      </c>
      <c r="AC60" s="28">
        <f t="shared" si="7"/>
        <v>0</v>
      </c>
      <c r="AG60" s="66">
        <f t="shared" si="18"/>
        <v>0</v>
      </c>
      <c r="AH60" s="66">
        <f t="shared" si="18"/>
        <v>0</v>
      </c>
      <c r="AI60" s="66">
        <f t="shared" si="18"/>
        <v>0</v>
      </c>
      <c r="AJ60" s="66">
        <f t="shared" si="18"/>
        <v>0</v>
      </c>
      <c r="AK60" s="66">
        <f t="shared" si="18"/>
        <v>0</v>
      </c>
      <c r="AL60" s="66">
        <f t="shared" si="18"/>
        <v>0</v>
      </c>
      <c r="AM60" s="66">
        <f t="shared" si="18"/>
        <v>0</v>
      </c>
      <c r="AN60" s="66">
        <f t="shared" si="18"/>
        <v>0</v>
      </c>
      <c r="AO60" s="66">
        <f t="shared" si="18"/>
        <v>0</v>
      </c>
      <c r="AU60" s="48"/>
      <c r="AV60" s="48"/>
      <c r="AW60" s="48"/>
      <c r="AX60" s="48"/>
      <c r="AY60" s="48"/>
    </row>
    <row r="61" spans="1:51">
      <c r="A61" s="2">
        <f t="shared" si="10"/>
        <v>1.3541666666666661</v>
      </c>
      <c r="B61" s="2">
        <f t="shared" si="1"/>
        <v>1.3749999999999993</v>
      </c>
      <c r="C61" s="19"/>
      <c r="D61" s="19"/>
      <c r="E61" s="20"/>
      <c r="F61" s="20"/>
      <c r="G61" s="20"/>
      <c r="H61" s="20"/>
      <c r="I61" s="20"/>
      <c r="J61" s="20"/>
      <c r="K61" s="20"/>
      <c r="L61" s="20"/>
      <c r="O61" s="29">
        <f t="shared" si="22"/>
        <v>0</v>
      </c>
      <c r="P61" s="29">
        <f t="shared" si="22"/>
        <v>0</v>
      </c>
      <c r="Q61" s="29">
        <f t="shared" si="22"/>
        <v>0</v>
      </c>
      <c r="R61" s="30">
        <f t="shared" si="22"/>
        <v>0</v>
      </c>
      <c r="S61" s="30">
        <f t="shared" si="22"/>
        <v>0</v>
      </c>
      <c r="T61" s="30">
        <f t="shared" si="22"/>
        <v>0</v>
      </c>
      <c r="U61" s="30">
        <f t="shared" si="22"/>
        <v>0</v>
      </c>
      <c r="V61" s="30">
        <f t="shared" si="22"/>
        <v>0</v>
      </c>
      <c r="W61" s="30">
        <f t="shared" si="22"/>
        <v>0</v>
      </c>
      <c r="X61" s="30">
        <f t="shared" si="22"/>
        <v>0</v>
      </c>
      <c r="Y61" s="31">
        <f t="shared" si="3"/>
        <v>0</v>
      </c>
      <c r="Z61" s="32">
        <f t="shared" si="4"/>
        <v>0</v>
      </c>
      <c r="AA61" s="32">
        <f t="shared" si="5"/>
        <v>0</v>
      </c>
      <c r="AB61" s="31">
        <f t="shared" si="6"/>
        <v>0</v>
      </c>
      <c r="AC61" s="33">
        <f t="shared" si="7"/>
        <v>0</v>
      </c>
      <c r="AG61" s="66">
        <f t="shared" si="18"/>
        <v>0</v>
      </c>
      <c r="AH61" s="66">
        <f t="shared" si="18"/>
        <v>0</v>
      </c>
      <c r="AI61" s="66">
        <f t="shared" si="18"/>
        <v>0</v>
      </c>
      <c r="AJ61" s="66">
        <f t="shared" si="18"/>
        <v>0</v>
      </c>
      <c r="AK61" s="66">
        <f t="shared" si="18"/>
        <v>0</v>
      </c>
      <c r="AL61" s="66">
        <f t="shared" si="18"/>
        <v>0</v>
      </c>
      <c r="AM61" s="66">
        <f t="shared" si="18"/>
        <v>0</v>
      </c>
      <c r="AN61" s="66">
        <f t="shared" si="18"/>
        <v>0</v>
      </c>
      <c r="AO61" s="66">
        <f t="shared" si="18"/>
        <v>0</v>
      </c>
      <c r="AU61" s="48"/>
      <c r="AV61" s="48"/>
      <c r="AW61" s="48"/>
      <c r="AX61" s="48"/>
      <c r="AY61" s="48"/>
    </row>
    <row r="62" spans="1:51">
      <c r="A62" s="3">
        <f t="shared" si="10"/>
        <v>1.3749999999999993</v>
      </c>
      <c r="B62" s="3">
        <f t="shared" si="1"/>
        <v>1.3958333333333326</v>
      </c>
      <c r="C62" s="21"/>
      <c r="D62" s="21"/>
      <c r="E62" s="22"/>
      <c r="F62" s="22"/>
      <c r="G62" s="22"/>
      <c r="H62" s="22"/>
      <c r="I62" s="22"/>
      <c r="J62" s="22"/>
      <c r="K62" s="22"/>
      <c r="L62" s="22"/>
      <c r="O62" s="34">
        <f t="shared" si="22"/>
        <v>0</v>
      </c>
      <c r="P62" s="34">
        <f t="shared" si="22"/>
        <v>0</v>
      </c>
      <c r="Q62" s="34">
        <f t="shared" si="22"/>
        <v>0</v>
      </c>
      <c r="R62" s="35">
        <f t="shared" si="22"/>
        <v>0</v>
      </c>
      <c r="S62" s="35">
        <f t="shared" si="22"/>
        <v>0</v>
      </c>
      <c r="T62" s="35">
        <f t="shared" si="22"/>
        <v>0</v>
      </c>
      <c r="U62" s="35">
        <f t="shared" si="22"/>
        <v>0</v>
      </c>
      <c r="V62" s="35">
        <f t="shared" si="22"/>
        <v>0</v>
      </c>
      <c r="W62" s="35">
        <f t="shared" si="22"/>
        <v>0</v>
      </c>
      <c r="X62" s="35">
        <f t="shared" si="22"/>
        <v>0</v>
      </c>
      <c r="Y62" s="36">
        <f t="shared" si="3"/>
        <v>0</v>
      </c>
      <c r="Z62" s="37">
        <f t="shared" si="4"/>
        <v>0</v>
      </c>
      <c r="AA62" s="37">
        <f t="shared" si="5"/>
        <v>0</v>
      </c>
      <c r="AB62" s="36">
        <f t="shared" si="6"/>
        <v>0</v>
      </c>
      <c r="AC62" s="38">
        <f t="shared" si="7"/>
        <v>0</v>
      </c>
      <c r="AG62" s="66">
        <f t="shared" si="18"/>
        <v>0</v>
      </c>
      <c r="AH62" s="66">
        <f t="shared" si="18"/>
        <v>0</v>
      </c>
      <c r="AI62" s="66">
        <f t="shared" si="18"/>
        <v>0</v>
      </c>
      <c r="AJ62" s="66">
        <f t="shared" si="18"/>
        <v>0</v>
      </c>
      <c r="AK62" s="66">
        <f t="shared" si="18"/>
        <v>0</v>
      </c>
      <c r="AL62" s="66">
        <f t="shared" si="18"/>
        <v>0</v>
      </c>
      <c r="AM62" s="66">
        <f t="shared" si="18"/>
        <v>0</v>
      </c>
      <c r="AN62" s="66">
        <f t="shared" si="18"/>
        <v>0</v>
      </c>
      <c r="AO62" s="66">
        <f t="shared" si="18"/>
        <v>0</v>
      </c>
      <c r="AQ62" s="49">
        <f t="shared" ref="AQ62:AY62" si="26">SUM(O62:O65)</f>
        <v>0</v>
      </c>
      <c r="AR62" s="49">
        <f t="shared" si="26"/>
        <v>0</v>
      </c>
      <c r="AS62" s="49">
        <f t="shared" si="26"/>
        <v>0</v>
      </c>
      <c r="AT62" s="49">
        <f t="shared" si="26"/>
        <v>0</v>
      </c>
      <c r="AU62" s="49">
        <f t="shared" si="26"/>
        <v>0</v>
      </c>
      <c r="AV62" s="49">
        <f t="shared" si="26"/>
        <v>0</v>
      </c>
      <c r="AW62" s="49">
        <f t="shared" si="26"/>
        <v>0</v>
      </c>
      <c r="AX62" s="49">
        <f t="shared" si="26"/>
        <v>0</v>
      </c>
      <c r="AY62" s="49">
        <f t="shared" si="26"/>
        <v>0</v>
      </c>
    </row>
    <row r="63" spans="1:51">
      <c r="A63" s="1">
        <f t="shared" si="10"/>
        <v>1.3958333333333326</v>
      </c>
      <c r="B63" s="1">
        <f t="shared" si="1"/>
        <v>1.4166666666666659</v>
      </c>
      <c r="C63" s="17"/>
      <c r="D63" s="17"/>
      <c r="E63" s="18"/>
      <c r="F63" s="18"/>
      <c r="G63" s="18"/>
      <c r="H63" s="18"/>
      <c r="I63" s="18"/>
      <c r="J63" s="18"/>
      <c r="K63" s="18"/>
      <c r="L63" s="18"/>
      <c r="O63" s="24">
        <f t="shared" si="22"/>
        <v>0</v>
      </c>
      <c r="P63" s="24">
        <f t="shared" si="22"/>
        <v>0</v>
      </c>
      <c r="Q63" s="24">
        <f t="shared" si="22"/>
        <v>0</v>
      </c>
      <c r="R63" s="25">
        <f t="shared" si="22"/>
        <v>0</v>
      </c>
      <c r="S63" s="25">
        <f t="shared" si="22"/>
        <v>0</v>
      </c>
      <c r="T63" s="25">
        <f t="shared" si="22"/>
        <v>0</v>
      </c>
      <c r="U63" s="25">
        <f t="shared" si="22"/>
        <v>0</v>
      </c>
      <c r="V63" s="25">
        <f t="shared" si="22"/>
        <v>0</v>
      </c>
      <c r="W63" s="25">
        <f t="shared" si="22"/>
        <v>0</v>
      </c>
      <c r="X63" s="25">
        <f t="shared" si="22"/>
        <v>0</v>
      </c>
      <c r="Y63" s="26">
        <f t="shared" si="3"/>
        <v>0</v>
      </c>
      <c r="Z63" s="27">
        <f t="shared" si="4"/>
        <v>0</v>
      </c>
      <c r="AA63" s="27">
        <f t="shared" si="5"/>
        <v>0</v>
      </c>
      <c r="AB63" s="26">
        <f t="shared" si="6"/>
        <v>0</v>
      </c>
      <c r="AC63" s="28">
        <f t="shared" si="7"/>
        <v>0</v>
      </c>
      <c r="AG63" s="66">
        <f t="shared" si="18"/>
        <v>0</v>
      </c>
      <c r="AH63" s="66">
        <f t="shared" si="18"/>
        <v>0</v>
      </c>
      <c r="AI63" s="66">
        <f t="shared" si="18"/>
        <v>0</v>
      </c>
      <c r="AJ63" s="66">
        <f t="shared" si="18"/>
        <v>0</v>
      </c>
      <c r="AK63" s="66">
        <f t="shared" si="18"/>
        <v>0</v>
      </c>
      <c r="AL63" s="66">
        <f t="shared" si="18"/>
        <v>0</v>
      </c>
      <c r="AM63" s="66">
        <f t="shared" si="18"/>
        <v>0</v>
      </c>
      <c r="AN63" s="66">
        <f t="shared" si="18"/>
        <v>0</v>
      </c>
      <c r="AO63" s="66">
        <f t="shared" si="18"/>
        <v>0</v>
      </c>
      <c r="AU63" s="48"/>
      <c r="AV63" s="48"/>
      <c r="AW63" s="48"/>
      <c r="AX63" s="48"/>
      <c r="AY63" s="48"/>
    </row>
    <row r="64" spans="1:51">
      <c r="A64" s="1">
        <f t="shared" si="10"/>
        <v>1.4166666666666659</v>
      </c>
      <c r="B64" s="1">
        <f t="shared" si="1"/>
        <v>1.4374999999999991</v>
      </c>
      <c r="C64" s="17"/>
      <c r="D64" s="17"/>
      <c r="E64" s="18"/>
      <c r="F64" s="18"/>
      <c r="G64" s="18"/>
      <c r="H64" s="18"/>
      <c r="I64" s="18"/>
      <c r="J64" s="18"/>
      <c r="K64" s="18"/>
      <c r="L64" s="18"/>
      <c r="O64" s="24">
        <f t="shared" si="22"/>
        <v>0</v>
      </c>
      <c r="P64" s="24">
        <f t="shared" si="22"/>
        <v>0</v>
      </c>
      <c r="Q64" s="24">
        <f t="shared" si="22"/>
        <v>0</v>
      </c>
      <c r="R64" s="25">
        <f t="shared" si="22"/>
        <v>0</v>
      </c>
      <c r="S64" s="25">
        <f t="shared" si="22"/>
        <v>0</v>
      </c>
      <c r="T64" s="25">
        <f t="shared" si="22"/>
        <v>0</v>
      </c>
      <c r="U64" s="25">
        <f t="shared" si="22"/>
        <v>0</v>
      </c>
      <c r="V64" s="25">
        <f t="shared" si="22"/>
        <v>0</v>
      </c>
      <c r="W64" s="25">
        <f t="shared" si="22"/>
        <v>0</v>
      </c>
      <c r="X64" s="25">
        <f t="shared" si="22"/>
        <v>0</v>
      </c>
      <c r="Y64" s="26">
        <f t="shared" si="3"/>
        <v>0</v>
      </c>
      <c r="Z64" s="27">
        <f t="shared" si="4"/>
        <v>0</v>
      </c>
      <c r="AA64" s="27">
        <f t="shared" si="5"/>
        <v>0</v>
      </c>
      <c r="AB64" s="26">
        <f t="shared" si="6"/>
        <v>0</v>
      </c>
      <c r="AC64" s="28">
        <f t="shared" si="7"/>
        <v>0</v>
      </c>
      <c r="AG64" s="66">
        <f t="shared" si="18"/>
        <v>0</v>
      </c>
      <c r="AH64" s="66">
        <f t="shared" si="18"/>
        <v>0</v>
      </c>
      <c r="AI64" s="66">
        <f t="shared" si="18"/>
        <v>0</v>
      </c>
      <c r="AJ64" s="66">
        <f t="shared" si="18"/>
        <v>0</v>
      </c>
      <c r="AK64" s="66">
        <f t="shared" si="18"/>
        <v>0</v>
      </c>
      <c r="AL64" s="66">
        <f t="shared" si="18"/>
        <v>0</v>
      </c>
      <c r="AM64" s="66">
        <f t="shared" si="18"/>
        <v>0</v>
      </c>
      <c r="AN64" s="66">
        <f t="shared" si="18"/>
        <v>0</v>
      </c>
      <c r="AO64" s="66">
        <f t="shared" si="18"/>
        <v>0</v>
      </c>
      <c r="AU64" s="48"/>
      <c r="AV64" s="48"/>
      <c r="AW64" s="48"/>
      <c r="AX64" s="48"/>
      <c r="AY64" s="48"/>
    </row>
    <row r="65" spans="1:51" ht="15.75" thickBot="1">
      <c r="A65" s="4">
        <f t="shared" si="10"/>
        <v>1.4374999999999991</v>
      </c>
      <c r="B65" s="4">
        <f t="shared" si="1"/>
        <v>1.4583333333333324</v>
      </c>
      <c r="C65" s="19"/>
      <c r="D65" s="19"/>
      <c r="E65" s="20"/>
      <c r="F65" s="20"/>
      <c r="G65" s="20"/>
      <c r="H65" s="20"/>
      <c r="I65" s="20"/>
      <c r="J65" s="20"/>
      <c r="K65" s="20"/>
      <c r="L65" s="20"/>
      <c r="O65" s="39">
        <f t="shared" si="22"/>
        <v>0</v>
      </c>
      <c r="P65" s="39">
        <f t="shared" si="22"/>
        <v>0</v>
      </c>
      <c r="Q65" s="39">
        <f t="shared" si="22"/>
        <v>0</v>
      </c>
      <c r="R65" s="40">
        <f t="shared" si="22"/>
        <v>0</v>
      </c>
      <c r="S65" s="40">
        <f t="shared" si="22"/>
        <v>0</v>
      </c>
      <c r="T65" s="40">
        <f t="shared" si="22"/>
        <v>0</v>
      </c>
      <c r="U65" s="40">
        <f t="shared" si="22"/>
        <v>0</v>
      </c>
      <c r="V65" s="40">
        <f t="shared" si="22"/>
        <v>0</v>
      </c>
      <c r="W65" s="40">
        <f t="shared" si="22"/>
        <v>0</v>
      </c>
      <c r="X65" s="40">
        <f t="shared" si="22"/>
        <v>0</v>
      </c>
      <c r="Y65" s="41">
        <f t="shared" si="3"/>
        <v>0</v>
      </c>
      <c r="Z65" s="42">
        <f t="shared" si="4"/>
        <v>0</v>
      </c>
      <c r="AA65" s="42">
        <f t="shared" si="5"/>
        <v>0</v>
      </c>
      <c r="AB65" s="41">
        <f t="shared" si="6"/>
        <v>0</v>
      </c>
      <c r="AC65" s="43">
        <f t="shared" si="7"/>
        <v>0</v>
      </c>
      <c r="AG65" s="66">
        <f t="shared" si="18"/>
        <v>0</v>
      </c>
      <c r="AH65" s="66">
        <f t="shared" si="18"/>
        <v>0</v>
      </c>
      <c r="AI65" s="66">
        <f t="shared" si="18"/>
        <v>0</v>
      </c>
      <c r="AJ65" s="66">
        <f t="shared" si="18"/>
        <v>0</v>
      </c>
      <c r="AK65" s="66">
        <f t="shared" si="18"/>
        <v>0</v>
      </c>
      <c r="AL65" s="66">
        <f t="shared" si="18"/>
        <v>0</v>
      </c>
      <c r="AM65" s="66">
        <f t="shared" si="18"/>
        <v>0</v>
      </c>
      <c r="AN65" s="66">
        <f t="shared" si="18"/>
        <v>0</v>
      </c>
      <c r="AO65" s="66">
        <f t="shared" si="18"/>
        <v>0</v>
      </c>
      <c r="AU65" s="48"/>
      <c r="AV65" s="48"/>
      <c r="AW65" s="48"/>
      <c r="AX65" s="48"/>
      <c r="AY65" s="48"/>
    </row>
    <row r="66" spans="1:51" s="46" customFormat="1">
      <c r="AD66" s="46" t="s">
        <v>18</v>
      </c>
      <c r="AG66" s="48"/>
      <c r="AH66" s="48"/>
      <c r="AI66" s="48"/>
      <c r="AJ66" s="48"/>
      <c r="AK66" s="48"/>
      <c r="AL66" s="48"/>
      <c r="AM66" s="48"/>
      <c r="AN66" s="48"/>
      <c r="AO66" s="48"/>
    </row>
    <row r="67" spans="1:51" s="46" customFormat="1" ht="18">
      <c r="A67" s="45" t="s">
        <v>11</v>
      </c>
      <c r="AD67" s="70" t="s">
        <v>22</v>
      </c>
      <c r="AG67" s="48"/>
      <c r="AH67" s="48"/>
      <c r="AI67" s="48"/>
      <c r="AJ67" s="48"/>
      <c r="AK67" s="48"/>
      <c r="AL67" s="48"/>
      <c r="AM67" s="48"/>
      <c r="AN67" s="48"/>
      <c r="AO67" s="48"/>
    </row>
    <row r="68" spans="1:51">
      <c r="A68" s="3">
        <v>0.29166666666666674</v>
      </c>
      <c r="B68" s="3">
        <v>0.33333333333333348</v>
      </c>
      <c r="C68" s="21"/>
      <c r="D68" s="21"/>
      <c r="E68" s="22"/>
      <c r="F68" s="22"/>
      <c r="G68" s="22"/>
      <c r="H68" s="22"/>
      <c r="I68" s="22"/>
      <c r="J68" s="22"/>
      <c r="K68" s="22"/>
      <c r="L68" s="22"/>
      <c r="O68" s="34">
        <f>SUM(O10:O11)</f>
        <v>22</v>
      </c>
      <c r="P68" s="34">
        <f t="shared" ref="P68:X68" si="27">SUM(P10:P11)</f>
        <v>139</v>
      </c>
      <c r="Q68" s="34">
        <f t="shared" si="27"/>
        <v>183</v>
      </c>
      <c r="R68" s="35">
        <f t="shared" si="27"/>
        <v>0</v>
      </c>
      <c r="S68" s="35">
        <f t="shared" si="27"/>
        <v>0</v>
      </c>
      <c r="T68" s="35">
        <f t="shared" si="27"/>
        <v>0</v>
      </c>
      <c r="U68" s="35">
        <f t="shared" si="27"/>
        <v>1</v>
      </c>
      <c r="V68" s="35">
        <f t="shared" si="27"/>
        <v>1</v>
      </c>
      <c r="W68" s="35">
        <f t="shared" si="27"/>
        <v>0</v>
      </c>
      <c r="X68" s="35">
        <f t="shared" si="27"/>
        <v>0</v>
      </c>
      <c r="Y68" s="36">
        <f t="shared" ref="Y68:Y82" si="28">O68+Q68+R68</f>
        <v>205</v>
      </c>
      <c r="Z68" s="37">
        <f t="shared" ref="Z68:Z82" si="29">S68+T68+U68+P68</f>
        <v>140</v>
      </c>
      <c r="AA68" s="37">
        <f t="shared" ref="AA68:AA82" si="30">V68+W68</f>
        <v>1</v>
      </c>
      <c r="AB68" s="36">
        <f t="shared" ref="AB68:AB82" si="31">SUM(O68:W68)</f>
        <v>346</v>
      </c>
      <c r="AC68" s="38">
        <f t="shared" ref="AC68:AC82" si="32">SUM(AG68:AO68)</f>
        <v>267</v>
      </c>
      <c r="AD68" s="50">
        <f t="shared" ref="AD68:AE83" si="33">AB68/AB$83</f>
        <v>0.18702702702702703</v>
      </c>
      <c r="AE68" s="50">
        <f t="shared" si="33"/>
        <v>0.19051016767748841</v>
      </c>
      <c r="AG68" s="48">
        <f>O68*O$8</f>
        <v>11</v>
      </c>
      <c r="AH68" s="48">
        <f t="shared" ref="AG68:AO82" si="34">P68*P$8</f>
        <v>69.5</v>
      </c>
      <c r="AI68" s="48">
        <f t="shared" si="34"/>
        <v>183</v>
      </c>
      <c r="AJ68" s="48">
        <f t="shared" si="34"/>
        <v>0</v>
      </c>
      <c r="AK68" s="48">
        <f t="shared" si="34"/>
        <v>0</v>
      </c>
      <c r="AL68" s="48">
        <f t="shared" si="34"/>
        <v>0</v>
      </c>
      <c r="AM68" s="48">
        <f t="shared" si="34"/>
        <v>2</v>
      </c>
      <c r="AN68" s="48">
        <f t="shared" si="34"/>
        <v>1.5</v>
      </c>
      <c r="AO68" s="48">
        <f t="shared" si="34"/>
        <v>0</v>
      </c>
      <c r="AQ68" s="50"/>
    </row>
    <row r="69" spans="1:51">
      <c r="A69" s="3">
        <v>0.33333333333333348</v>
      </c>
      <c r="B69" s="3">
        <v>0.37500000000000022</v>
      </c>
      <c r="C69" s="21"/>
      <c r="D69" s="21"/>
      <c r="E69" s="22"/>
      <c r="F69" s="22"/>
      <c r="G69" s="22"/>
      <c r="H69" s="22"/>
      <c r="I69" s="22"/>
      <c r="J69" s="22"/>
      <c r="K69" s="22"/>
      <c r="L69" s="22"/>
      <c r="O69" s="34">
        <f>SUM(O12:O13)</f>
        <v>12</v>
      </c>
      <c r="P69" s="34">
        <f t="shared" ref="P69:X69" si="35">SUM(P12:P13)</f>
        <v>81</v>
      </c>
      <c r="Q69" s="34">
        <f t="shared" si="35"/>
        <v>153</v>
      </c>
      <c r="R69" s="35">
        <f t="shared" si="35"/>
        <v>0</v>
      </c>
      <c r="S69" s="35">
        <f t="shared" si="35"/>
        <v>0</v>
      </c>
      <c r="T69" s="35">
        <f t="shared" si="35"/>
        <v>0</v>
      </c>
      <c r="U69" s="35">
        <f t="shared" si="35"/>
        <v>1</v>
      </c>
      <c r="V69" s="35">
        <f t="shared" si="35"/>
        <v>4</v>
      </c>
      <c r="W69" s="35">
        <f t="shared" si="35"/>
        <v>0</v>
      </c>
      <c r="X69" s="35">
        <f>SUM(X12:X13)</f>
        <v>0</v>
      </c>
      <c r="Y69" s="36">
        <f t="shared" si="28"/>
        <v>165</v>
      </c>
      <c r="Z69" s="37">
        <f t="shared" si="29"/>
        <v>82</v>
      </c>
      <c r="AA69" s="37">
        <f t="shared" si="30"/>
        <v>4</v>
      </c>
      <c r="AB69" s="36">
        <f t="shared" si="31"/>
        <v>251</v>
      </c>
      <c r="AC69" s="38">
        <f t="shared" si="32"/>
        <v>207.5</v>
      </c>
      <c r="AD69" s="50">
        <f t="shared" si="33"/>
        <v>0.13567567567567568</v>
      </c>
      <c r="AE69" s="50">
        <f t="shared" si="33"/>
        <v>0.14805565465572601</v>
      </c>
      <c r="AG69" s="48">
        <f t="shared" si="34"/>
        <v>6</v>
      </c>
      <c r="AH69" s="48">
        <f t="shared" si="34"/>
        <v>40.5</v>
      </c>
      <c r="AI69" s="48">
        <f t="shared" si="34"/>
        <v>153</v>
      </c>
      <c r="AJ69" s="48">
        <f t="shared" si="34"/>
        <v>0</v>
      </c>
      <c r="AK69" s="48">
        <f t="shared" si="34"/>
        <v>0</v>
      </c>
      <c r="AL69" s="48">
        <f t="shared" si="34"/>
        <v>0</v>
      </c>
      <c r="AM69" s="48">
        <f t="shared" si="34"/>
        <v>2</v>
      </c>
      <c r="AN69" s="48">
        <f t="shared" si="34"/>
        <v>6</v>
      </c>
      <c r="AO69" s="48">
        <f t="shared" si="34"/>
        <v>0</v>
      </c>
      <c r="AQ69" s="50"/>
    </row>
    <row r="70" spans="1:51">
      <c r="A70" s="3">
        <v>0.37500000000000022</v>
      </c>
      <c r="B70" s="3">
        <v>0.41666666666666696</v>
      </c>
      <c r="C70" s="21"/>
      <c r="D70" s="21"/>
      <c r="E70" s="22"/>
      <c r="F70" s="22"/>
      <c r="G70" s="22"/>
      <c r="H70" s="22"/>
      <c r="I70" s="22"/>
      <c r="J70" s="22"/>
      <c r="K70" s="22"/>
      <c r="L70" s="22"/>
      <c r="O70" s="34">
        <f>SUM(O14:O15)</f>
        <v>7</v>
      </c>
      <c r="P70" s="34">
        <f t="shared" ref="P70:X70" si="36">SUM(P14:P15)</f>
        <v>53</v>
      </c>
      <c r="Q70" s="34">
        <f t="shared" si="36"/>
        <v>126</v>
      </c>
      <c r="R70" s="35">
        <f t="shared" si="36"/>
        <v>0</v>
      </c>
      <c r="S70" s="35">
        <f t="shared" si="36"/>
        <v>0</v>
      </c>
      <c r="T70" s="35">
        <f t="shared" si="36"/>
        <v>0</v>
      </c>
      <c r="U70" s="35">
        <f t="shared" si="36"/>
        <v>1</v>
      </c>
      <c r="V70" s="35">
        <f t="shared" si="36"/>
        <v>0</v>
      </c>
      <c r="W70" s="35">
        <f t="shared" si="36"/>
        <v>0</v>
      </c>
      <c r="X70" s="35">
        <f t="shared" si="36"/>
        <v>0</v>
      </c>
      <c r="Y70" s="36">
        <f t="shared" si="28"/>
        <v>133</v>
      </c>
      <c r="Z70" s="37">
        <f t="shared" si="29"/>
        <v>54</v>
      </c>
      <c r="AA70" s="37">
        <f t="shared" si="30"/>
        <v>0</v>
      </c>
      <c r="AB70" s="36">
        <f t="shared" si="31"/>
        <v>187</v>
      </c>
      <c r="AC70" s="38">
        <f t="shared" si="32"/>
        <v>158</v>
      </c>
      <c r="AD70" s="50">
        <f t="shared" si="33"/>
        <v>0.10108108108108108</v>
      </c>
      <c r="AE70" s="50">
        <f t="shared" si="33"/>
        <v>0.11273635390652872</v>
      </c>
      <c r="AG70" s="48">
        <f t="shared" si="34"/>
        <v>3.5</v>
      </c>
      <c r="AH70" s="48">
        <f t="shared" si="34"/>
        <v>26.5</v>
      </c>
      <c r="AI70" s="48">
        <f t="shared" si="34"/>
        <v>126</v>
      </c>
      <c r="AJ70" s="48">
        <f t="shared" si="34"/>
        <v>0</v>
      </c>
      <c r="AK70" s="48">
        <f t="shared" si="34"/>
        <v>0</v>
      </c>
      <c r="AL70" s="48">
        <f t="shared" si="34"/>
        <v>0</v>
      </c>
      <c r="AM70" s="48">
        <f t="shared" si="34"/>
        <v>2</v>
      </c>
      <c r="AN70" s="48">
        <f t="shared" si="34"/>
        <v>0</v>
      </c>
      <c r="AO70" s="48">
        <f t="shared" si="34"/>
        <v>0</v>
      </c>
      <c r="AQ70" s="50"/>
    </row>
    <row r="71" spans="1:51">
      <c r="A71" s="3">
        <v>0.41666666666666696</v>
      </c>
      <c r="B71" s="3">
        <v>0.4583333333333337</v>
      </c>
      <c r="C71" s="21"/>
      <c r="D71" s="21"/>
      <c r="E71" s="22"/>
      <c r="F71" s="22"/>
      <c r="G71" s="22"/>
      <c r="H71" s="22"/>
      <c r="I71" s="22"/>
      <c r="J71" s="22"/>
      <c r="K71" s="22"/>
      <c r="L71" s="22"/>
      <c r="O71" s="34">
        <f>SUM(O16:O17)</f>
        <v>8</v>
      </c>
      <c r="P71" s="34">
        <f t="shared" ref="P71:X71" si="37">SUM(P16:P17)</f>
        <v>46</v>
      </c>
      <c r="Q71" s="34">
        <f t="shared" si="37"/>
        <v>89</v>
      </c>
      <c r="R71" s="35">
        <f t="shared" si="37"/>
        <v>0</v>
      </c>
      <c r="S71" s="35">
        <f t="shared" si="37"/>
        <v>0</v>
      </c>
      <c r="T71" s="35">
        <f t="shared" si="37"/>
        <v>0</v>
      </c>
      <c r="U71" s="35">
        <f t="shared" si="37"/>
        <v>1</v>
      </c>
      <c r="V71" s="35">
        <f t="shared" si="37"/>
        <v>0</v>
      </c>
      <c r="W71" s="35">
        <f t="shared" si="37"/>
        <v>0</v>
      </c>
      <c r="X71" s="35">
        <f t="shared" si="37"/>
        <v>0</v>
      </c>
      <c r="Y71" s="36">
        <f t="shared" si="28"/>
        <v>97</v>
      </c>
      <c r="Z71" s="37">
        <f t="shared" si="29"/>
        <v>47</v>
      </c>
      <c r="AA71" s="37">
        <f t="shared" si="30"/>
        <v>0</v>
      </c>
      <c r="AB71" s="36">
        <f t="shared" si="31"/>
        <v>144</v>
      </c>
      <c r="AC71" s="38">
        <f t="shared" si="32"/>
        <v>118</v>
      </c>
      <c r="AD71" s="50">
        <f t="shared" si="33"/>
        <v>7.7837837837837834E-2</v>
      </c>
      <c r="AE71" s="50">
        <f t="shared" si="33"/>
        <v>8.419550481626828E-2</v>
      </c>
      <c r="AG71" s="48">
        <f t="shared" si="34"/>
        <v>4</v>
      </c>
      <c r="AH71" s="48">
        <f t="shared" si="34"/>
        <v>23</v>
      </c>
      <c r="AI71" s="48">
        <f t="shared" si="34"/>
        <v>89</v>
      </c>
      <c r="AJ71" s="48">
        <f t="shared" si="34"/>
        <v>0</v>
      </c>
      <c r="AK71" s="48">
        <f t="shared" si="34"/>
        <v>0</v>
      </c>
      <c r="AL71" s="48">
        <f t="shared" si="34"/>
        <v>0</v>
      </c>
      <c r="AM71" s="48">
        <f t="shared" si="34"/>
        <v>2</v>
      </c>
      <c r="AN71" s="48">
        <f t="shared" si="34"/>
        <v>0</v>
      </c>
      <c r="AO71" s="48">
        <f t="shared" si="34"/>
        <v>0</v>
      </c>
      <c r="AQ71" s="50"/>
    </row>
    <row r="72" spans="1:51">
      <c r="A72" s="3">
        <v>0.4583333333333337</v>
      </c>
      <c r="B72" s="3">
        <v>0.50000000000000044</v>
      </c>
      <c r="C72" s="21"/>
      <c r="D72" s="21"/>
      <c r="E72" s="22"/>
      <c r="F72" s="22"/>
      <c r="G72" s="22"/>
      <c r="H72" s="22"/>
      <c r="I72" s="22"/>
      <c r="J72" s="22"/>
      <c r="K72" s="22"/>
      <c r="L72" s="22"/>
      <c r="O72" s="34">
        <f>SUM(O18:O19)</f>
        <v>11</v>
      </c>
      <c r="P72" s="34">
        <f t="shared" ref="P72:X72" si="38">SUM(P18:P19)</f>
        <v>48</v>
      </c>
      <c r="Q72" s="34">
        <f t="shared" si="38"/>
        <v>62</v>
      </c>
      <c r="R72" s="35">
        <f t="shared" si="38"/>
        <v>0</v>
      </c>
      <c r="S72" s="35">
        <f t="shared" si="38"/>
        <v>0</v>
      </c>
      <c r="T72" s="35">
        <f t="shared" si="38"/>
        <v>0</v>
      </c>
      <c r="U72" s="35">
        <f t="shared" si="38"/>
        <v>1</v>
      </c>
      <c r="V72" s="35">
        <f t="shared" si="38"/>
        <v>1</v>
      </c>
      <c r="W72" s="35">
        <f t="shared" si="38"/>
        <v>0</v>
      </c>
      <c r="X72" s="35">
        <f t="shared" si="38"/>
        <v>0</v>
      </c>
      <c r="Y72" s="36">
        <f t="shared" si="28"/>
        <v>73</v>
      </c>
      <c r="Z72" s="37">
        <f t="shared" si="29"/>
        <v>49</v>
      </c>
      <c r="AA72" s="37">
        <f t="shared" si="30"/>
        <v>1</v>
      </c>
      <c r="AB72" s="36">
        <f t="shared" si="31"/>
        <v>123</v>
      </c>
      <c r="AC72" s="38">
        <f t="shared" si="32"/>
        <v>95</v>
      </c>
      <c r="AD72" s="50">
        <f t="shared" si="33"/>
        <v>6.6486486486486487E-2</v>
      </c>
      <c r="AE72" s="50">
        <f t="shared" si="33"/>
        <v>6.7784516589368529E-2</v>
      </c>
      <c r="AG72" s="48">
        <f t="shared" si="34"/>
        <v>5.5</v>
      </c>
      <c r="AH72" s="48">
        <f t="shared" si="34"/>
        <v>24</v>
      </c>
      <c r="AI72" s="48">
        <f t="shared" si="34"/>
        <v>62</v>
      </c>
      <c r="AJ72" s="48">
        <f t="shared" si="34"/>
        <v>0</v>
      </c>
      <c r="AK72" s="48">
        <f t="shared" si="34"/>
        <v>0</v>
      </c>
      <c r="AL72" s="48">
        <f t="shared" si="34"/>
        <v>0</v>
      </c>
      <c r="AM72" s="48">
        <f t="shared" si="34"/>
        <v>2</v>
      </c>
      <c r="AN72" s="48">
        <f t="shared" si="34"/>
        <v>1.5</v>
      </c>
      <c r="AO72" s="48">
        <f t="shared" si="34"/>
        <v>0</v>
      </c>
      <c r="AQ72" s="50"/>
    </row>
    <row r="73" spans="1:51">
      <c r="A73" s="3">
        <v>0.50000000000000044</v>
      </c>
      <c r="B73" s="3">
        <v>0.54166666666666696</v>
      </c>
      <c r="C73" s="21"/>
      <c r="D73" s="21"/>
      <c r="E73" s="22"/>
      <c r="F73" s="22"/>
      <c r="G73" s="22"/>
      <c r="H73" s="22"/>
      <c r="I73" s="22"/>
      <c r="J73" s="22"/>
      <c r="K73" s="22"/>
      <c r="L73" s="22"/>
      <c r="O73" s="34">
        <f>SUM(O20:O21)</f>
        <v>6</v>
      </c>
      <c r="P73" s="34">
        <f t="shared" ref="P73:X73" si="39">SUM(P20:P21)</f>
        <v>80</v>
      </c>
      <c r="Q73" s="34">
        <f t="shared" si="39"/>
        <v>99</v>
      </c>
      <c r="R73" s="35">
        <f t="shared" si="39"/>
        <v>0</v>
      </c>
      <c r="S73" s="35">
        <f t="shared" si="39"/>
        <v>0</v>
      </c>
      <c r="T73" s="35">
        <f t="shared" si="39"/>
        <v>0</v>
      </c>
      <c r="U73" s="35">
        <f t="shared" si="39"/>
        <v>0</v>
      </c>
      <c r="V73" s="35">
        <f t="shared" si="39"/>
        <v>0</v>
      </c>
      <c r="W73" s="35">
        <f t="shared" si="39"/>
        <v>0</v>
      </c>
      <c r="X73" s="35">
        <f t="shared" si="39"/>
        <v>0</v>
      </c>
      <c r="Y73" s="36">
        <f t="shared" si="28"/>
        <v>105</v>
      </c>
      <c r="Z73" s="37">
        <f t="shared" si="29"/>
        <v>80</v>
      </c>
      <c r="AA73" s="37">
        <f t="shared" si="30"/>
        <v>0</v>
      </c>
      <c r="AB73" s="36">
        <f t="shared" si="31"/>
        <v>185</v>
      </c>
      <c r="AC73" s="38">
        <f t="shared" si="32"/>
        <v>142</v>
      </c>
      <c r="AD73" s="50">
        <f t="shared" si="33"/>
        <v>0.1</v>
      </c>
      <c r="AE73" s="50">
        <f t="shared" si="33"/>
        <v>0.10132001427042454</v>
      </c>
      <c r="AG73" s="48">
        <f t="shared" si="34"/>
        <v>3</v>
      </c>
      <c r="AH73" s="48">
        <f t="shared" si="34"/>
        <v>40</v>
      </c>
      <c r="AI73" s="48">
        <f t="shared" si="34"/>
        <v>99</v>
      </c>
      <c r="AJ73" s="48">
        <f t="shared" si="34"/>
        <v>0</v>
      </c>
      <c r="AK73" s="48">
        <f t="shared" si="34"/>
        <v>0</v>
      </c>
      <c r="AL73" s="48">
        <f t="shared" si="34"/>
        <v>0</v>
      </c>
      <c r="AM73" s="48">
        <f t="shared" si="34"/>
        <v>0</v>
      </c>
      <c r="AN73" s="48">
        <f t="shared" si="34"/>
        <v>0</v>
      </c>
      <c r="AO73" s="48">
        <f t="shared" si="34"/>
        <v>0</v>
      </c>
      <c r="AQ73" s="50"/>
    </row>
    <row r="74" spans="1:51">
      <c r="A74" s="3">
        <v>0.54166666666666696</v>
      </c>
      <c r="B74" s="3">
        <v>0.58333333333333348</v>
      </c>
      <c r="C74" s="21"/>
      <c r="D74" s="21"/>
      <c r="E74" s="22"/>
      <c r="F74" s="22"/>
      <c r="G74" s="22"/>
      <c r="H74" s="22"/>
      <c r="I74" s="22"/>
      <c r="J74" s="22"/>
      <c r="K74" s="22"/>
      <c r="L74" s="22"/>
      <c r="O74" s="34">
        <f>SUM(O22:O23)</f>
        <v>12</v>
      </c>
      <c r="P74" s="34">
        <f t="shared" ref="P74:X74" si="40">SUM(P22:P23)</f>
        <v>75</v>
      </c>
      <c r="Q74" s="34">
        <f>SUM(Q22:Q23)</f>
        <v>69</v>
      </c>
      <c r="R74" s="35">
        <f t="shared" si="40"/>
        <v>0</v>
      </c>
      <c r="S74" s="35">
        <f t="shared" si="40"/>
        <v>0</v>
      </c>
      <c r="T74" s="35">
        <f t="shared" si="40"/>
        <v>0</v>
      </c>
      <c r="U74" s="35">
        <f t="shared" si="40"/>
        <v>0</v>
      </c>
      <c r="V74" s="35">
        <f t="shared" si="40"/>
        <v>0</v>
      </c>
      <c r="W74" s="35">
        <f t="shared" si="40"/>
        <v>0</v>
      </c>
      <c r="X74" s="35">
        <f t="shared" si="40"/>
        <v>0</v>
      </c>
      <c r="Y74" s="36">
        <f t="shared" si="28"/>
        <v>81</v>
      </c>
      <c r="Z74" s="37">
        <f t="shared" si="29"/>
        <v>75</v>
      </c>
      <c r="AA74" s="37">
        <f t="shared" si="30"/>
        <v>0</v>
      </c>
      <c r="AB74" s="36">
        <f t="shared" si="31"/>
        <v>156</v>
      </c>
      <c r="AC74" s="38">
        <f t="shared" si="32"/>
        <v>112.5</v>
      </c>
      <c r="AD74" s="50">
        <f t="shared" si="33"/>
        <v>8.4324324324324323E-2</v>
      </c>
      <c r="AE74" s="50">
        <f t="shared" si="33"/>
        <v>8.0271138066357481E-2</v>
      </c>
      <c r="AG74" s="48">
        <f t="shared" si="34"/>
        <v>6</v>
      </c>
      <c r="AH74" s="48">
        <f t="shared" si="34"/>
        <v>37.5</v>
      </c>
      <c r="AI74" s="48">
        <f t="shared" si="34"/>
        <v>69</v>
      </c>
      <c r="AJ74" s="48">
        <f t="shared" si="34"/>
        <v>0</v>
      </c>
      <c r="AK74" s="48">
        <f t="shared" si="34"/>
        <v>0</v>
      </c>
      <c r="AL74" s="48">
        <f t="shared" si="34"/>
        <v>0</v>
      </c>
      <c r="AM74" s="48">
        <f t="shared" si="34"/>
        <v>0</v>
      </c>
      <c r="AN74" s="48">
        <f t="shared" si="34"/>
        <v>0</v>
      </c>
      <c r="AO74" s="48">
        <f t="shared" si="34"/>
        <v>0</v>
      </c>
      <c r="AQ74" s="50"/>
    </row>
    <row r="75" spans="1:51">
      <c r="A75" s="3">
        <v>0.58333333333333348</v>
      </c>
      <c r="B75" s="3">
        <v>0.625</v>
      </c>
      <c r="C75" s="21"/>
      <c r="D75" s="21"/>
      <c r="E75" s="22"/>
      <c r="F75" s="22"/>
      <c r="G75" s="22"/>
      <c r="H75" s="22"/>
      <c r="I75" s="22"/>
      <c r="J75" s="22"/>
      <c r="K75" s="22"/>
      <c r="L75" s="22"/>
      <c r="O75" s="34">
        <f>SUM(O24:O25)</f>
        <v>23</v>
      </c>
      <c r="P75" s="34">
        <f t="shared" ref="P75:X75" si="41">SUM(P24:P25)</f>
        <v>55</v>
      </c>
      <c r="Q75" s="34">
        <f t="shared" si="41"/>
        <v>46</v>
      </c>
      <c r="R75" s="35">
        <f t="shared" si="41"/>
        <v>0</v>
      </c>
      <c r="S75" s="35">
        <f t="shared" si="41"/>
        <v>0</v>
      </c>
      <c r="T75" s="35">
        <f t="shared" si="41"/>
        <v>0</v>
      </c>
      <c r="U75" s="35">
        <f t="shared" si="41"/>
        <v>2</v>
      </c>
      <c r="V75" s="35">
        <f t="shared" si="41"/>
        <v>1</v>
      </c>
      <c r="W75" s="35">
        <f t="shared" si="41"/>
        <v>0</v>
      </c>
      <c r="X75" s="35">
        <f t="shared" si="41"/>
        <v>0</v>
      </c>
      <c r="Y75" s="36">
        <f t="shared" si="28"/>
        <v>69</v>
      </c>
      <c r="Z75" s="37">
        <f t="shared" si="29"/>
        <v>57</v>
      </c>
      <c r="AA75" s="37">
        <f t="shared" si="30"/>
        <v>1</v>
      </c>
      <c r="AB75" s="36">
        <f t="shared" si="31"/>
        <v>127</v>
      </c>
      <c r="AC75" s="38">
        <f t="shared" si="32"/>
        <v>90.5</v>
      </c>
      <c r="AD75" s="50">
        <f t="shared" si="33"/>
        <v>6.8648648648648655E-2</v>
      </c>
      <c r="AE75" s="50">
        <f t="shared" si="33"/>
        <v>6.4573671066714231E-2</v>
      </c>
      <c r="AG75" s="48">
        <f t="shared" si="34"/>
        <v>11.5</v>
      </c>
      <c r="AH75" s="48">
        <f t="shared" si="34"/>
        <v>27.5</v>
      </c>
      <c r="AI75" s="48">
        <f t="shared" si="34"/>
        <v>46</v>
      </c>
      <c r="AJ75" s="48">
        <f t="shared" si="34"/>
        <v>0</v>
      </c>
      <c r="AK75" s="48">
        <f t="shared" si="34"/>
        <v>0</v>
      </c>
      <c r="AL75" s="48">
        <f t="shared" si="34"/>
        <v>0</v>
      </c>
      <c r="AM75" s="48">
        <f t="shared" si="34"/>
        <v>4</v>
      </c>
      <c r="AN75" s="48">
        <f t="shared" si="34"/>
        <v>1.5</v>
      </c>
      <c r="AO75" s="48">
        <f t="shared" si="34"/>
        <v>0</v>
      </c>
      <c r="AQ75" s="50"/>
    </row>
    <row r="76" spans="1:51" s="48" customFormat="1">
      <c r="A76" s="3">
        <v>0.625</v>
      </c>
      <c r="B76" s="3">
        <v>0.66666666666666652</v>
      </c>
      <c r="C76" s="21"/>
      <c r="D76" s="21"/>
      <c r="E76" s="22"/>
      <c r="F76" s="22"/>
      <c r="G76" s="22"/>
      <c r="H76" s="22"/>
      <c r="I76" s="22"/>
      <c r="J76" s="22"/>
      <c r="K76" s="22"/>
      <c r="L76" s="22"/>
      <c r="O76" s="34">
        <f>SUM(O26:O27)</f>
        <v>13</v>
      </c>
      <c r="P76" s="34">
        <f t="shared" ref="P76:X76" si="42">SUM(P26:P27)</f>
        <v>50</v>
      </c>
      <c r="Q76" s="34">
        <f t="shared" si="42"/>
        <v>24</v>
      </c>
      <c r="R76" s="35">
        <f t="shared" si="42"/>
        <v>0</v>
      </c>
      <c r="S76" s="35">
        <f t="shared" si="42"/>
        <v>0</v>
      </c>
      <c r="T76" s="35">
        <f t="shared" si="42"/>
        <v>0</v>
      </c>
      <c r="U76" s="35">
        <f t="shared" si="42"/>
        <v>2</v>
      </c>
      <c r="V76" s="35">
        <f t="shared" si="42"/>
        <v>0</v>
      </c>
      <c r="W76" s="35">
        <f t="shared" si="42"/>
        <v>0</v>
      </c>
      <c r="X76" s="35">
        <f t="shared" si="42"/>
        <v>0</v>
      </c>
      <c r="Y76" s="36">
        <f t="shared" si="28"/>
        <v>37</v>
      </c>
      <c r="Z76" s="37">
        <f t="shared" si="29"/>
        <v>52</v>
      </c>
      <c r="AA76" s="37">
        <f t="shared" si="30"/>
        <v>0</v>
      </c>
      <c r="AB76" s="36">
        <f t="shared" si="31"/>
        <v>89</v>
      </c>
      <c r="AC76" s="38">
        <f t="shared" si="32"/>
        <v>59.5</v>
      </c>
      <c r="AD76" s="50">
        <f t="shared" si="33"/>
        <v>4.8108108108108109E-2</v>
      </c>
      <c r="AE76" s="50">
        <f t="shared" si="33"/>
        <v>4.2454513021762397E-2</v>
      </c>
      <c r="AG76" s="48">
        <f t="shared" si="34"/>
        <v>6.5</v>
      </c>
      <c r="AH76" s="48">
        <f t="shared" si="34"/>
        <v>25</v>
      </c>
      <c r="AI76" s="48">
        <f t="shared" si="34"/>
        <v>24</v>
      </c>
      <c r="AJ76" s="48">
        <f t="shared" si="34"/>
        <v>0</v>
      </c>
      <c r="AK76" s="48">
        <f t="shared" si="34"/>
        <v>0</v>
      </c>
      <c r="AL76" s="48">
        <f t="shared" si="34"/>
        <v>0</v>
      </c>
      <c r="AM76" s="48">
        <f t="shared" si="34"/>
        <v>4</v>
      </c>
      <c r="AN76" s="48">
        <f t="shared" si="34"/>
        <v>0</v>
      </c>
      <c r="AO76" s="48">
        <f t="shared" si="34"/>
        <v>0</v>
      </c>
      <c r="AQ76" s="50"/>
      <c r="AU76" s="5"/>
      <c r="AV76" s="5"/>
      <c r="AW76" s="5"/>
      <c r="AX76" s="5"/>
      <c r="AY76" s="5"/>
    </row>
    <row r="77" spans="1:51" s="48" customFormat="1">
      <c r="A77" s="3">
        <v>0.66666666666666652</v>
      </c>
      <c r="B77" s="3">
        <v>0.70833333333333304</v>
      </c>
      <c r="C77" s="21"/>
      <c r="D77" s="21"/>
      <c r="E77" s="22"/>
      <c r="F77" s="22"/>
      <c r="G77" s="22"/>
      <c r="H77" s="22"/>
      <c r="I77" s="22"/>
      <c r="J77" s="22"/>
      <c r="K77" s="22"/>
      <c r="L77" s="22"/>
      <c r="O77" s="34">
        <f>SUM(O28:O29)</f>
        <v>12</v>
      </c>
      <c r="P77" s="34">
        <f t="shared" ref="P77:X77" si="43">SUM(P28:P29)</f>
        <v>49</v>
      </c>
      <c r="Q77" s="34">
        <f t="shared" si="43"/>
        <v>15</v>
      </c>
      <c r="R77" s="35">
        <f t="shared" si="43"/>
        <v>0</v>
      </c>
      <c r="S77" s="35">
        <f t="shared" si="43"/>
        <v>0</v>
      </c>
      <c r="T77" s="35">
        <f t="shared" si="43"/>
        <v>0</v>
      </c>
      <c r="U77" s="35">
        <f t="shared" si="43"/>
        <v>1</v>
      </c>
      <c r="V77" s="35">
        <f t="shared" si="43"/>
        <v>1</v>
      </c>
      <c r="W77" s="35">
        <f t="shared" si="43"/>
        <v>0</v>
      </c>
      <c r="X77" s="35">
        <f t="shared" si="43"/>
        <v>0</v>
      </c>
      <c r="Y77" s="36">
        <f t="shared" si="28"/>
        <v>27</v>
      </c>
      <c r="Z77" s="37">
        <f t="shared" si="29"/>
        <v>50</v>
      </c>
      <c r="AA77" s="37">
        <f t="shared" si="30"/>
        <v>1</v>
      </c>
      <c r="AB77" s="36">
        <f t="shared" si="31"/>
        <v>78</v>
      </c>
      <c r="AC77" s="38">
        <f t="shared" si="32"/>
        <v>49</v>
      </c>
      <c r="AD77" s="50">
        <f t="shared" si="33"/>
        <v>4.2162162162162162E-2</v>
      </c>
      <c r="AE77" s="50">
        <f t="shared" si="33"/>
        <v>3.4962540135569035E-2</v>
      </c>
      <c r="AG77" s="48">
        <f t="shared" si="34"/>
        <v>6</v>
      </c>
      <c r="AH77" s="48">
        <f t="shared" si="34"/>
        <v>24.5</v>
      </c>
      <c r="AI77" s="48">
        <f t="shared" si="34"/>
        <v>15</v>
      </c>
      <c r="AJ77" s="48">
        <f t="shared" si="34"/>
        <v>0</v>
      </c>
      <c r="AK77" s="48">
        <f t="shared" si="34"/>
        <v>0</v>
      </c>
      <c r="AL77" s="48">
        <f t="shared" si="34"/>
        <v>0</v>
      </c>
      <c r="AM77" s="48">
        <f t="shared" si="34"/>
        <v>2</v>
      </c>
      <c r="AN77" s="48">
        <f t="shared" si="34"/>
        <v>1.5</v>
      </c>
      <c r="AO77" s="48">
        <f t="shared" si="34"/>
        <v>0</v>
      </c>
      <c r="AQ77" s="50"/>
      <c r="AU77" s="5"/>
      <c r="AV77" s="5"/>
      <c r="AW77" s="5"/>
      <c r="AX77" s="5"/>
      <c r="AY77" s="5"/>
    </row>
    <row r="78" spans="1:51" s="48" customFormat="1">
      <c r="A78" s="3">
        <v>0.70833333333333304</v>
      </c>
      <c r="B78" s="3">
        <v>0.74999999999999956</v>
      </c>
      <c r="C78" s="21"/>
      <c r="D78" s="21"/>
      <c r="E78" s="22"/>
      <c r="F78" s="22"/>
      <c r="G78" s="22"/>
      <c r="H78" s="22"/>
      <c r="I78" s="22"/>
      <c r="J78" s="22"/>
      <c r="K78" s="22"/>
      <c r="L78" s="22"/>
      <c r="O78" s="34">
        <f>SUM(O30:O31)</f>
        <v>21</v>
      </c>
      <c r="P78" s="34">
        <f t="shared" ref="P78:X78" si="44">SUM(P30:P31)</f>
        <v>24</v>
      </c>
      <c r="Q78" s="34">
        <f t="shared" si="44"/>
        <v>13</v>
      </c>
      <c r="R78" s="35">
        <f t="shared" si="44"/>
        <v>0</v>
      </c>
      <c r="S78" s="35">
        <f t="shared" si="44"/>
        <v>0</v>
      </c>
      <c r="T78" s="35">
        <f t="shared" si="44"/>
        <v>0</v>
      </c>
      <c r="U78" s="35">
        <f t="shared" si="44"/>
        <v>0</v>
      </c>
      <c r="V78" s="35">
        <f t="shared" si="44"/>
        <v>3</v>
      </c>
      <c r="W78" s="35">
        <f t="shared" si="44"/>
        <v>0</v>
      </c>
      <c r="X78" s="35">
        <f t="shared" si="44"/>
        <v>0</v>
      </c>
      <c r="Y78" s="36">
        <f t="shared" si="28"/>
        <v>34</v>
      </c>
      <c r="Z78" s="37">
        <f t="shared" si="29"/>
        <v>24</v>
      </c>
      <c r="AA78" s="37">
        <f t="shared" si="30"/>
        <v>3</v>
      </c>
      <c r="AB78" s="36">
        <f t="shared" si="31"/>
        <v>61</v>
      </c>
      <c r="AC78" s="38">
        <f t="shared" si="32"/>
        <v>40</v>
      </c>
      <c r="AD78" s="50">
        <f t="shared" si="33"/>
        <v>3.2972972972972976E-2</v>
      </c>
      <c r="AE78" s="50">
        <f t="shared" si="33"/>
        <v>2.8540849090260435E-2</v>
      </c>
      <c r="AG78" s="48">
        <f t="shared" si="34"/>
        <v>10.5</v>
      </c>
      <c r="AH78" s="48">
        <f t="shared" si="34"/>
        <v>12</v>
      </c>
      <c r="AI78" s="48">
        <f t="shared" si="34"/>
        <v>13</v>
      </c>
      <c r="AJ78" s="48">
        <f t="shared" si="34"/>
        <v>0</v>
      </c>
      <c r="AK78" s="48">
        <f t="shared" si="34"/>
        <v>0</v>
      </c>
      <c r="AL78" s="48">
        <f t="shared" si="34"/>
        <v>0</v>
      </c>
      <c r="AM78" s="48">
        <f t="shared" si="34"/>
        <v>0</v>
      </c>
      <c r="AN78" s="48">
        <f t="shared" si="34"/>
        <v>4.5</v>
      </c>
      <c r="AO78" s="48">
        <f t="shared" si="34"/>
        <v>0</v>
      </c>
      <c r="AQ78" s="50"/>
      <c r="AU78" s="5"/>
      <c r="AV78" s="5"/>
      <c r="AW78" s="5"/>
      <c r="AX78" s="5"/>
      <c r="AY78" s="5"/>
    </row>
    <row r="79" spans="1:51" s="48" customFormat="1">
      <c r="A79" s="3">
        <v>0.74999999999999956</v>
      </c>
      <c r="B79" s="3">
        <v>0.79166666666666607</v>
      </c>
      <c r="C79" s="21"/>
      <c r="D79" s="21"/>
      <c r="E79" s="22"/>
      <c r="F79" s="22"/>
      <c r="G79" s="22"/>
      <c r="H79" s="22"/>
      <c r="I79" s="22"/>
      <c r="J79" s="22"/>
      <c r="K79" s="22"/>
      <c r="L79" s="22"/>
      <c r="O79" s="34">
        <f>SUM(O32:O33)</f>
        <v>15</v>
      </c>
      <c r="P79" s="34">
        <f t="shared" ref="P79:X79" si="45">SUM(P32:P33)</f>
        <v>22</v>
      </c>
      <c r="Q79" s="34">
        <f t="shared" si="45"/>
        <v>9</v>
      </c>
      <c r="R79" s="35">
        <f t="shared" si="45"/>
        <v>0</v>
      </c>
      <c r="S79" s="35">
        <f t="shared" si="45"/>
        <v>0</v>
      </c>
      <c r="T79" s="35">
        <f t="shared" si="45"/>
        <v>0</v>
      </c>
      <c r="U79" s="35">
        <f t="shared" si="45"/>
        <v>0</v>
      </c>
      <c r="V79" s="35">
        <f t="shared" si="45"/>
        <v>0</v>
      </c>
      <c r="W79" s="35">
        <f t="shared" si="45"/>
        <v>0</v>
      </c>
      <c r="X79" s="35">
        <f t="shared" si="45"/>
        <v>0</v>
      </c>
      <c r="Y79" s="36">
        <f t="shared" si="28"/>
        <v>24</v>
      </c>
      <c r="Z79" s="37">
        <f t="shared" si="29"/>
        <v>22</v>
      </c>
      <c r="AA79" s="37">
        <f t="shared" si="30"/>
        <v>0</v>
      </c>
      <c r="AB79" s="36">
        <f t="shared" si="31"/>
        <v>46</v>
      </c>
      <c r="AC79" s="38">
        <f t="shared" si="32"/>
        <v>27.5</v>
      </c>
      <c r="AD79" s="50">
        <f t="shared" si="33"/>
        <v>2.4864864864864864E-2</v>
      </c>
      <c r="AE79" s="50">
        <f t="shared" si="33"/>
        <v>1.9621833749554049E-2</v>
      </c>
      <c r="AG79" s="48">
        <f t="shared" si="34"/>
        <v>7.5</v>
      </c>
      <c r="AH79" s="48">
        <f t="shared" si="34"/>
        <v>11</v>
      </c>
      <c r="AI79" s="48">
        <f t="shared" si="34"/>
        <v>9</v>
      </c>
      <c r="AJ79" s="48">
        <f t="shared" si="34"/>
        <v>0</v>
      </c>
      <c r="AK79" s="48">
        <f t="shared" si="34"/>
        <v>0</v>
      </c>
      <c r="AL79" s="48">
        <f t="shared" si="34"/>
        <v>0</v>
      </c>
      <c r="AM79" s="48">
        <f t="shared" si="34"/>
        <v>0</v>
      </c>
      <c r="AN79" s="48">
        <f t="shared" si="34"/>
        <v>0</v>
      </c>
      <c r="AO79" s="48">
        <f t="shared" si="34"/>
        <v>0</v>
      </c>
      <c r="AQ79" s="50"/>
      <c r="AU79" s="5"/>
      <c r="AV79" s="5"/>
      <c r="AW79" s="5"/>
      <c r="AX79" s="5"/>
      <c r="AY79" s="5"/>
    </row>
    <row r="80" spans="1:51" s="48" customFormat="1">
      <c r="A80" s="3">
        <v>0.79166666666666607</v>
      </c>
      <c r="B80" s="3">
        <v>0.83333333333333259</v>
      </c>
      <c r="C80" s="21"/>
      <c r="D80" s="21"/>
      <c r="E80" s="22"/>
      <c r="F80" s="22"/>
      <c r="G80" s="22"/>
      <c r="H80" s="22"/>
      <c r="I80" s="22"/>
      <c r="J80" s="22"/>
      <c r="K80" s="22"/>
      <c r="L80" s="22"/>
      <c r="O80" s="34">
        <f>SUM(O34:O35)</f>
        <v>17</v>
      </c>
      <c r="P80" s="34">
        <f t="shared" ref="P80:X80" si="46">SUM(P34:P35)</f>
        <v>12</v>
      </c>
      <c r="Q80" s="34">
        <f t="shared" si="46"/>
        <v>6</v>
      </c>
      <c r="R80" s="35">
        <f t="shared" si="46"/>
        <v>0</v>
      </c>
      <c r="S80" s="35">
        <f t="shared" si="46"/>
        <v>0</v>
      </c>
      <c r="T80" s="35">
        <f t="shared" si="46"/>
        <v>0</v>
      </c>
      <c r="U80" s="35">
        <f t="shared" si="46"/>
        <v>1</v>
      </c>
      <c r="V80" s="35">
        <f t="shared" si="46"/>
        <v>0</v>
      </c>
      <c r="W80" s="35">
        <f t="shared" si="46"/>
        <v>0</v>
      </c>
      <c r="X80" s="35">
        <f t="shared" si="46"/>
        <v>0</v>
      </c>
      <c r="Y80" s="36">
        <f t="shared" si="28"/>
        <v>23</v>
      </c>
      <c r="Z80" s="37">
        <f t="shared" si="29"/>
        <v>13</v>
      </c>
      <c r="AA80" s="37">
        <f t="shared" si="30"/>
        <v>0</v>
      </c>
      <c r="AB80" s="36">
        <f t="shared" si="31"/>
        <v>36</v>
      </c>
      <c r="AC80" s="38">
        <f t="shared" si="32"/>
        <v>22.5</v>
      </c>
      <c r="AD80" s="50">
        <f t="shared" si="33"/>
        <v>1.9459459459459458E-2</v>
      </c>
      <c r="AE80" s="50">
        <f t="shared" si="33"/>
        <v>1.6054227613271493E-2</v>
      </c>
      <c r="AG80" s="48">
        <f t="shared" si="34"/>
        <v>8.5</v>
      </c>
      <c r="AH80" s="48">
        <f t="shared" si="34"/>
        <v>6</v>
      </c>
      <c r="AI80" s="48">
        <f t="shared" si="34"/>
        <v>6</v>
      </c>
      <c r="AJ80" s="48">
        <f t="shared" si="34"/>
        <v>0</v>
      </c>
      <c r="AK80" s="48">
        <f t="shared" si="34"/>
        <v>0</v>
      </c>
      <c r="AL80" s="48">
        <f t="shared" si="34"/>
        <v>0</v>
      </c>
      <c r="AM80" s="48">
        <f t="shared" si="34"/>
        <v>2</v>
      </c>
      <c r="AN80" s="48">
        <f t="shared" si="34"/>
        <v>0</v>
      </c>
      <c r="AO80" s="48">
        <f t="shared" si="34"/>
        <v>0</v>
      </c>
      <c r="AQ80" s="50"/>
      <c r="AU80" s="5"/>
      <c r="AV80" s="5"/>
      <c r="AW80" s="5"/>
      <c r="AX80" s="5"/>
      <c r="AY80" s="5"/>
    </row>
    <row r="81" spans="1:51" s="48" customFormat="1">
      <c r="A81" s="3">
        <v>0.83333333333333259</v>
      </c>
      <c r="B81" s="3">
        <v>0.87499999999999911</v>
      </c>
      <c r="C81" s="21"/>
      <c r="D81" s="21"/>
      <c r="E81" s="22"/>
      <c r="F81" s="22"/>
      <c r="G81" s="22"/>
      <c r="H81" s="22"/>
      <c r="I81" s="22"/>
      <c r="J81" s="22"/>
      <c r="K81" s="22"/>
      <c r="L81" s="22"/>
      <c r="O81" s="34">
        <f>SUM(O36:O37)</f>
        <v>6</v>
      </c>
      <c r="P81" s="34">
        <f t="shared" ref="P81:X81" si="47">SUM(P36:P37)</f>
        <v>11</v>
      </c>
      <c r="Q81" s="34">
        <f t="shared" si="47"/>
        <v>4</v>
      </c>
      <c r="R81" s="35">
        <f t="shared" si="47"/>
        <v>0</v>
      </c>
      <c r="S81" s="35">
        <f t="shared" si="47"/>
        <v>0</v>
      </c>
      <c r="T81" s="35">
        <f t="shared" si="47"/>
        <v>0</v>
      </c>
      <c r="U81" s="35">
        <f t="shared" si="47"/>
        <v>0</v>
      </c>
      <c r="V81" s="35">
        <f t="shared" si="47"/>
        <v>0</v>
      </c>
      <c r="W81" s="35">
        <f t="shared" si="47"/>
        <v>0</v>
      </c>
      <c r="X81" s="35">
        <f t="shared" si="47"/>
        <v>0</v>
      </c>
      <c r="Y81" s="36">
        <f t="shared" si="28"/>
        <v>10</v>
      </c>
      <c r="Z81" s="37">
        <f t="shared" si="29"/>
        <v>11</v>
      </c>
      <c r="AA81" s="37">
        <f t="shared" si="30"/>
        <v>0</v>
      </c>
      <c r="AB81" s="36">
        <f t="shared" si="31"/>
        <v>21</v>
      </c>
      <c r="AC81" s="38">
        <f t="shared" si="32"/>
        <v>12.5</v>
      </c>
      <c r="AD81" s="50">
        <f t="shared" si="33"/>
        <v>1.1351351351351352E-2</v>
      </c>
      <c r="AE81" s="50">
        <f t="shared" si="33"/>
        <v>8.9190153407063856E-3</v>
      </c>
      <c r="AG81" s="48">
        <f t="shared" si="34"/>
        <v>3</v>
      </c>
      <c r="AH81" s="48">
        <f t="shared" si="34"/>
        <v>5.5</v>
      </c>
      <c r="AI81" s="48">
        <f t="shared" si="34"/>
        <v>4</v>
      </c>
      <c r="AJ81" s="48">
        <f t="shared" si="34"/>
        <v>0</v>
      </c>
      <c r="AK81" s="48">
        <f t="shared" si="34"/>
        <v>0</v>
      </c>
      <c r="AL81" s="48">
        <f t="shared" si="34"/>
        <v>0</v>
      </c>
      <c r="AM81" s="48">
        <f t="shared" si="34"/>
        <v>0</v>
      </c>
      <c r="AN81" s="48">
        <f t="shared" si="34"/>
        <v>0</v>
      </c>
      <c r="AO81" s="48">
        <f t="shared" si="34"/>
        <v>0</v>
      </c>
      <c r="AQ81" s="50"/>
      <c r="AU81" s="5"/>
      <c r="AV81" s="5"/>
      <c r="AW81" s="5"/>
      <c r="AX81" s="5"/>
      <c r="AY81" s="5"/>
    </row>
    <row r="82" spans="1:51" s="48" customFormat="1">
      <c r="A82" s="3">
        <v>0.87499999999999911</v>
      </c>
      <c r="B82" s="3">
        <v>0.91666666666666663</v>
      </c>
      <c r="C82" s="21"/>
      <c r="D82" s="21"/>
      <c r="E82" s="22"/>
      <c r="F82" s="22"/>
      <c r="G82" s="22"/>
      <c r="H82" s="22"/>
      <c r="I82" s="22"/>
      <c r="J82" s="22"/>
      <c r="K82" s="22"/>
      <c r="L82" s="22"/>
      <c r="O82" s="34">
        <f>SUM(O38:O39)</f>
        <v>0</v>
      </c>
      <c r="P82" s="34">
        <f t="shared" ref="P82:X82" si="48">SUM(P38:P39)</f>
        <v>0</v>
      </c>
      <c r="Q82" s="34">
        <f t="shared" si="48"/>
        <v>0</v>
      </c>
      <c r="R82" s="35">
        <f t="shared" si="48"/>
        <v>0</v>
      </c>
      <c r="S82" s="35">
        <f t="shared" si="48"/>
        <v>0</v>
      </c>
      <c r="T82" s="35">
        <f t="shared" si="48"/>
        <v>0</v>
      </c>
      <c r="U82" s="35">
        <f t="shared" si="48"/>
        <v>0</v>
      </c>
      <c r="V82" s="35">
        <f t="shared" si="48"/>
        <v>0</v>
      </c>
      <c r="W82" s="35">
        <f t="shared" si="48"/>
        <v>0</v>
      </c>
      <c r="X82" s="35">
        <f t="shared" si="48"/>
        <v>0</v>
      </c>
      <c r="Y82" s="36">
        <f t="shared" si="28"/>
        <v>0</v>
      </c>
      <c r="Z82" s="37">
        <f t="shared" si="29"/>
        <v>0</v>
      </c>
      <c r="AA82" s="37">
        <f t="shared" si="30"/>
        <v>0</v>
      </c>
      <c r="AB82" s="36">
        <f t="shared" si="31"/>
        <v>0</v>
      </c>
      <c r="AC82" s="38">
        <f t="shared" si="32"/>
        <v>0</v>
      </c>
      <c r="AD82" s="50">
        <f t="shared" si="33"/>
        <v>0</v>
      </c>
      <c r="AE82" s="50">
        <f t="shared" si="33"/>
        <v>0</v>
      </c>
      <c r="AG82" s="48">
        <f t="shared" si="34"/>
        <v>0</v>
      </c>
      <c r="AH82" s="48">
        <f t="shared" si="34"/>
        <v>0</v>
      </c>
      <c r="AI82" s="48">
        <f t="shared" si="34"/>
        <v>0</v>
      </c>
      <c r="AJ82" s="48">
        <f t="shared" si="34"/>
        <v>0</v>
      </c>
      <c r="AK82" s="48">
        <f t="shared" si="34"/>
        <v>0</v>
      </c>
      <c r="AL82" s="48">
        <f t="shared" si="34"/>
        <v>0</v>
      </c>
      <c r="AM82" s="48">
        <f t="shared" si="34"/>
        <v>0</v>
      </c>
      <c r="AN82" s="48">
        <f t="shared" si="34"/>
        <v>0</v>
      </c>
      <c r="AO82" s="48">
        <f t="shared" si="34"/>
        <v>0</v>
      </c>
      <c r="AQ82" s="50"/>
      <c r="AU82" s="5"/>
      <c r="AV82" s="5"/>
      <c r="AW82" s="5"/>
      <c r="AX82" s="5"/>
      <c r="AY82" s="5"/>
    </row>
    <row r="83" spans="1:51" s="48" customFormat="1">
      <c r="A83" s="47"/>
      <c r="B83" s="47"/>
      <c r="C83" s="64"/>
      <c r="N83" s="54" t="s">
        <v>17</v>
      </c>
      <c r="O83" s="69">
        <f t="shared" ref="O83:W83" si="49">SUM(O68:O82)</f>
        <v>185</v>
      </c>
      <c r="P83" s="69">
        <f t="shared" si="49"/>
        <v>745</v>
      </c>
      <c r="Q83" s="69">
        <f t="shared" si="49"/>
        <v>898</v>
      </c>
      <c r="R83" s="69">
        <f t="shared" si="49"/>
        <v>0</v>
      </c>
      <c r="S83" s="69">
        <f t="shared" si="49"/>
        <v>0</v>
      </c>
      <c r="T83" s="69">
        <f t="shared" si="49"/>
        <v>0</v>
      </c>
      <c r="U83" s="69">
        <f t="shared" si="49"/>
        <v>11</v>
      </c>
      <c r="V83" s="69">
        <f t="shared" si="49"/>
        <v>11</v>
      </c>
      <c r="W83" s="69">
        <f t="shared" si="49"/>
        <v>0</v>
      </c>
      <c r="Y83" s="67">
        <f>SUM(Y68:Y82)</f>
        <v>1083</v>
      </c>
      <c r="Z83" s="67">
        <f>SUM(Z68:Z82)</f>
        <v>756</v>
      </c>
      <c r="AA83" s="67">
        <f>SUM(AA68:AA82)</f>
        <v>11</v>
      </c>
      <c r="AB83" s="67">
        <f>SUM(AB68:AB82)</f>
        <v>1850</v>
      </c>
      <c r="AC83" s="67">
        <f>SUM(AC68:AC82)</f>
        <v>1401.5</v>
      </c>
      <c r="AD83" s="50">
        <f t="shared" si="33"/>
        <v>1</v>
      </c>
      <c r="AE83" s="50">
        <f t="shared" si="33"/>
        <v>1</v>
      </c>
      <c r="AQ83" s="50"/>
    </row>
    <row r="84" spans="1:51" s="48" customFormat="1">
      <c r="A84" s="51"/>
      <c r="B84" s="51"/>
      <c r="N84" s="54" t="s">
        <v>16</v>
      </c>
      <c r="Y84" s="50"/>
      <c r="Z84" s="50"/>
      <c r="AA84" s="50"/>
      <c r="AB84" s="49"/>
    </row>
    <row r="85" spans="1:51" s="48" customFormat="1">
      <c r="A85" s="51"/>
      <c r="B85" s="51"/>
    </row>
    <row r="86" spans="1:51" s="48" customFormat="1">
      <c r="AB86" s="52" t="s">
        <v>14</v>
      </c>
      <c r="AC86" s="55">
        <f>MAX(AC68:AC82)</f>
        <v>267</v>
      </c>
    </row>
    <row r="87" spans="1:51" s="48" customFormat="1">
      <c r="AB87" s="52" t="s">
        <v>15</v>
      </c>
      <c r="AC87" s="56" t="s">
        <v>23</v>
      </c>
    </row>
    <row r="88" spans="1:51" s="48" customFormat="1"/>
    <row r="89" spans="1:51" s="48" customFormat="1"/>
    <row r="90" spans="1:51" s="48" customFormat="1"/>
  </sheetData>
  <mergeCells count="1">
    <mergeCell ref="A7:B7"/>
  </mergeCells>
  <phoneticPr fontId="9" type="noConversion"/>
  <conditionalFormatting sqref="C10:L65 O10:AC65 C68:L82 O68:AC82">
    <cfRule type="cellIs" dxfId="4" priority="1" stopIfTrue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01BD-0F3C-4A29-BB47-1A61A242121C}">
  <dimension ref="A1:AY90"/>
  <sheetViews>
    <sheetView zoomScale="115" zoomScaleNormal="115" workbookViewId="0">
      <pane xSplit="2" ySplit="9" topLeftCell="C64" activePane="bottomRight" state="frozen"/>
      <selection activeCell="D4" sqref="D4"/>
      <selection pane="topRight" activeCell="D4" sqref="D4"/>
      <selection pane="bottomLeft" activeCell="D4" sqref="D4"/>
      <selection pane="bottomRight" activeCell="O68" sqref="O68:X82"/>
    </sheetView>
  </sheetViews>
  <sheetFormatPr defaultColWidth="8.85546875" defaultRowHeight="15"/>
  <cols>
    <col min="1" max="2" width="5.7109375" style="5" customWidth="1"/>
    <col min="3" max="12" width="6.7109375" style="5" customWidth="1"/>
    <col min="13" max="14" width="5.7109375" style="48" customWidth="1"/>
    <col min="15" max="15" width="7.7109375" style="5" customWidth="1"/>
    <col min="16" max="24" width="6.7109375" style="5" customWidth="1"/>
    <col min="25" max="29" width="8.85546875" style="5"/>
    <col min="30" max="42" width="8.85546875" style="48"/>
    <col min="43" max="43" width="10" style="48" bestFit="1" customWidth="1"/>
    <col min="44" max="46" width="8.85546875" style="48"/>
    <col min="47" max="16384" width="8.85546875" style="5"/>
  </cols>
  <sheetData>
    <row r="1" spans="1:51" s="46" customFormat="1">
      <c r="A1" s="45" t="s">
        <v>12</v>
      </c>
      <c r="M1" s="48"/>
      <c r="N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</row>
    <row r="2" spans="1:51" s="46" customFormat="1">
      <c r="A2" s="71" t="s">
        <v>24</v>
      </c>
      <c r="C2" s="46" t="s">
        <v>28</v>
      </c>
      <c r="I2" s="46" t="s">
        <v>26</v>
      </c>
      <c r="J2" s="46" t="s">
        <v>31</v>
      </c>
      <c r="M2" s="48"/>
      <c r="N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</row>
    <row r="3" spans="1:51" s="46" customFormat="1">
      <c r="A3" s="71" t="s">
        <v>25</v>
      </c>
      <c r="C3" s="46" t="s">
        <v>29</v>
      </c>
      <c r="M3" s="48"/>
      <c r="N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</row>
    <row r="4" spans="1:51" s="46" customFormat="1">
      <c r="A4" s="71" t="s">
        <v>27</v>
      </c>
      <c r="C4" s="72" t="s">
        <v>44</v>
      </c>
      <c r="M4" s="48"/>
      <c r="N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</row>
    <row r="5" spans="1:51" s="46" customFormat="1">
      <c r="A5" s="45"/>
      <c r="M5" s="48"/>
      <c r="N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</row>
    <row r="6" spans="1:51" s="46" customFormat="1">
      <c r="A6" s="45" t="s">
        <v>13</v>
      </c>
      <c r="M6" s="48"/>
      <c r="N6" s="48"/>
      <c r="O6" s="45" t="s">
        <v>9</v>
      </c>
      <c r="P6" s="45"/>
      <c r="Q6" s="45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</row>
    <row r="7" spans="1:51" s="23" customFormat="1" ht="31.5">
      <c r="A7" s="73" t="s">
        <v>0</v>
      </c>
      <c r="B7" s="73"/>
      <c r="C7" s="59" t="s">
        <v>32</v>
      </c>
      <c r="D7" s="59" t="s">
        <v>33</v>
      </c>
      <c r="E7" s="59" t="s">
        <v>34</v>
      </c>
      <c r="F7" s="59" t="s">
        <v>35</v>
      </c>
      <c r="G7" s="59" t="s">
        <v>36</v>
      </c>
      <c r="H7" s="59" t="s">
        <v>45</v>
      </c>
      <c r="I7" s="59" t="s">
        <v>38</v>
      </c>
      <c r="J7" s="59" t="s">
        <v>39</v>
      </c>
      <c r="K7" s="59" t="s">
        <v>40</v>
      </c>
      <c r="L7" s="59"/>
      <c r="M7" s="60"/>
      <c r="N7" s="60"/>
      <c r="O7" s="59" t="str">
        <f>C7</f>
        <v>Private Car</v>
      </c>
      <c r="P7" s="59" t="str">
        <f>D7</f>
        <v>MC</v>
      </c>
      <c r="Q7" s="59" t="str">
        <f t="shared" ref="Q7:X7" si="0">E7</f>
        <v>Tricycle</v>
      </c>
      <c r="R7" s="59" t="str">
        <f t="shared" si="0"/>
        <v>PUJ</v>
      </c>
      <c r="S7" s="59" t="str">
        <f t="shared" si="0"/>
        <v>Public Van</v>
      </c>
      <c r="T7" s="59" t="str">
        <f t="shared" si="0"/>
        <v>Bus</v>
      </c>
      <c r="U7" s="59" t="str">
        <f t="shared" si="0"/>
        <v>Truck</v>
      </c>
      <c r="V7" s="59" t="str">
        <f t="shared" si="0"/>
        <v>Light Goods</v>
      </c>
      <c r="W7" s="59" t="str">
        <f t="shared" si="0"/>
        <v>Others</v>
      </c>
      <c r="X7" s="59">
        <f t="shared" si="0"/>
        <v>0</v>
      </c>
      <c r="Y7" s="61" t="s">
        <v>10</v>
      </c>
      <c r="Z7" s="62" t="s">
        <v>1</v>
      </c>
      <c r="AA7" s="62" t="s">
        <v>2</v>
      </c>
      <c r="AB7" s="61" t="s">
        <v>3</v>
      </c>
      <c r="AC7" s="63" t="s">
        <v>4</v>
      </c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</row>
    <row r="8" spans="1:51">
      <c r="A8" s="6">
        <v>2.0833333333333332E-2</v>
      </c>
      <c r="C8" s="65" t="s">
        <v>6</v>
      </c>
      <c r="D8" s="65" t="s">
        <v>6</v>
      </c>
      <c r="E8" s="65" t="s">
        <v>6</v>
      </c>
      <c r="F8" s="65" t="s">
        <v>6</v>
      </c>
      <c r="G8" s="44" t="s">
        <v>8</v>
      </c>
      <c r="H8" s="65" t="s">
        <v>6</v>
      </c>
      <c r="I8" s="44" t="s">
        <v>8</v>
      </c>
      <c r="J8" s="44" t="s">
        <v>8</v>
      </c>
      <c r="K8" s="44" t="s">
        <v>8</v>
      </c>
      <c r="L8" s="44"/>
      <c r="M8" s="57"/>
      <c r="N8" s="57" t="s">
        <v>5</v>
      </c>
      <c r="O8" s="8">
        <v>0.5</v>
      </c>
      <c r="P8" s="8">
        <v>0.5</v>
      </c>
      <c r="Q8" s="8">
        <v>1</v>
      </c>
      <c r="R8" s="8">
        <v>1</v>
      </c>
      <c r="S8" s="8">
        <v>1</v>
      </c>
      <c r="T8" s="8">
        <v>1.5</v>
      </c>
      <c r="U8" s="8">
        <v>2</v>
      </c>
      <c r="V8" s="7">
        <v>1.5</v>
      </c>
      <c r="W8" s="7">
        <v>2.5</v>
      </c>
      <c r="X8" s="7">
        <v>1</v>
      </c>
      <c r="Y8" s="9"/>
      <c r="Z8" s="10"/>
      <c r="AA8" s="10"/>
      <c r="AB8" s="9"/>
      <c r="AC8" s="11"/>
      <c r="AG8" s="68" t="s">
        <v>19</v>
      </c>
      <c r="AQ8" s="48" t="s">
        <v>20</v>
      </c>
    </row>
    <row r="9" spans="1:51">
      <c r="A9" s="1"/>
      <c r="B9" s="12" t="s">
        <v>7</v>
      </c>
      <c r="C9" s="8"/>
      <c r="D9" s="8"/>
      <c r="E9" s="8"/>
      <c r="F9" s="8"/>
      <c r="G9" s="8"/>
      <c r="H9" s="8"/>
      <c r="I9" s="12"/>
      <c r="J9" s="12"/>
      <c r="K9" s="12"/>
      <c r="L9" s="12"/>
      <c r="M9" s="58"/>
      <c r="N9" s="12" t="s">
        <v>17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4"/>
      <c r="Z9" s="15"/>
      <c r="AA9" s="15"/>
      <c r="AB9" s="14"/>
      <c r="AC9" s="16"/>
      <c r="AG9" s="48" t="s">
        <v>21</v>
      </c>
    </row>
    <row r="10" spans="1:51">
      <c r="A10" s="3">
        <v>0.29166666666666674</v>
      </c>
      <c r="B10" s="3">
        <f t="shared" ref="B10:B65" si="1">$A$8+A10</f>
        <v>0.31250000000000006</v>
      </c>
      <c r="C10" s="21"/>
      <c r="D10" s="21"/>
      <c r="E10" s="22"/>
      <c r="F10" s="22"/>
      <c r="G10" s="22"/>
      <c r="H10" s="22"/>
      <c r="I10" s="22"/>
      <c r="J10" s="22"/>
      <c r="K10" s="22"/>
      <c r="L10" s="22"/>
      <c r="O10" s="34">
        <v>67</v>
      </c>
      <c r="P10" s="34">
        <v>266</v>
      </c>
      <c r="Q10" s="34">
        <v>115</v>
      </c>
      <c r="R10" s="35">
        <v>25</v>
      </c>
      <c r="S10" s="35">
        <v>12</v>
      </c>
      <c r="T10" s="35">
        <v>3</v>
      </c>
      <c r="U10" s="35">
        <v>2</v>
      </c>
      <c r="V10" s="35">
        <v>9</v>
      </c>
      <c r="W10" s="35">
        <v>1</v>
      </c>
      <c r="X10" s="35">
        <f t="shared" ref="X10:X25" si="2">L10-L9</f>
        <v>0</v>
      </c>
      <c r="Y10" s="36">
        <f t="shared" ref="Y10:Y65" si="3">O10+Q10+R10</f>
        <v>207</v>
      </c>
      <c r="Z10" s="37">
        <f t="shared" ref="Z10:Z65" si="4">S10+T10+U10+P10</f>
        <v>283</v>
      </c>
      <c r="AA10" s="37">
        <f t="shared" ref="AA10:AA65" si="5">V10+W10</f>
        <v>10</v>
      </c>
      <c r="AB10" s="36">
        <f t="shared" ref="AB10:AB65" si="6">SUM(O10:W10)</f>
        <v>500</v>
      </c>
      <c r="AC10" s="38">
        <f t="shared" ref="AC10:AC65" si="7">SUM(AG10:AO10)</f>
        <v>343</v>
      </c>
      <c r="AG10" s="66">
        <f t="shared" ref="AG10:AO37" si="8">O10*O$8</f>
        <v>33.5</v>
      </c>
      <c r="AH10" s="66">
        <f t="shared" si="8"/>
        <v>133</v>
      </c>
      <c r="AI10" s="66">
        <f t="shared" si="8"/>
        <v>115</v>
      </c>
      <c r="AJ10" s="66">
        <f t="shared" si="8"/>
        <v>25</v>
      </c>
      <c r="AK10" s="66">
        <f t="shared" si="8"/>
        <v>12</v>
      </c>
      <c r="AL10" s="66">
        <f t="shared" si="8"/>
        <v>4.5</v>
      </c>
      <c r="AM10" s="66">
        <f t="shared" si="8"/>
        <v>4</v>
      </c>
      <c r="AN10" s="66">
        <f t="shared" si="8"/>
        <v>13.5</v>
      </c>
      <c r="AO10" s="66">
        <f t="shared" si="8"/>
        <v>2.5</v>
      </c>
      <c r="AQ10" s="49">
        <f t="shared" ref="AQ10:AY10" si="9">SUM(O10:O13)</f>
        <v>424</v>
      </c>
      <c r="AR10" s="49">
        <f t="shared" si="9"/>
        <v>1144</v>
      </c>
      <c r="AS10" s="49">
        <f t="shared" si="9"/>
        <v>526</v>
      </c>
      <c r="AT10" s="49">
        <f t="shared" si="9"/>
        <v>144</v>
      </c>
      <c r="AU10" s="49">
        <f t="shared" si="9"/>
        <v>28</v>
      </c>
      <c r="AV10" s="49">
        <f t="shared" si="9"/>
        <v>6</v>
      </c>
      <c r="AW10" s="49">
        <f t="shared" si="9"/>
        <v>21</v>
      </c>
      <c r="AX10" s="49">
        <f t="shared" si="9"/>
        <v>58</v>
      </c>
      <c r="AY10" s="49">
        <f t="shared" si="9"/>
        <v>19</v>
      </c>
    </row>
    <row r="11" spans="1:51">
      <c r="A11" s="1">
        <f t="shared" ref="A11:A65" si="10">B10</f>
        <v>0.31250000000000006</v>
      </c>
      <c r="B11" s="1">
        <f t="shared" si="1"/>
        <v>0.33333333333333337</v>
      </c>
      <c r="C11" s="17"/>
      <c r="D11" s="17"/>
      <c r="E11" s="18"/>
      <c r="F11" s="18"/>
      <c r="G11" s="18"/>
      <c r="H11" s="18"/>
      <c r="I11" s="18"/>
      <c r="J11" s="18"/>
      <c r="K11" s="18"/>
      <c r="L11" s="18"/>
      <c r="O11" s="24">
        <v>119</v>
      </c>
      <c r="P11" s="24">
        <v>356</v>
      </c>
      <c r="Q11" s="24">
        <v>148</v>
      </c>
      <c r="R11" s="25">
        <v>31</v>
      </c>
      <c r="S11" s="25">
        <v>6</v>
      </c>
      <c r="T11" s="25">
        <v>1</v>
      </c>
      <c r="U11" s="25">
        <v>4</v>
      </c>
      <c r="V11" s="25">
        <v>17</v>
      </c>
      <c r="W11" s="25">
        <v>3</v>
      </c>
      <c r="X11" s="25">
        <f t="shared" si="2"/>
        <v>0</v>
      </c>
      <c r="Y11" s="26">
        <f t="shared" si="3"/>
        <v>298</v>
      </c>
      <c r="Z11" s="27">
        <f t="shared" si="4"/>
        <v>367</v>
      </c>
      <c r="AA11" s="27">
        <f t="shared" si="5"/>
        <v>20</v>
      </c>
      <c r="AB11" s="26">
        <f t="shared" si="6"/>
        <v>685</v>
      </c>
      <c r="AC11" s="28">
        <f t="shared" si="7"/>
        <v>465</v>
      </c>
      <c r="AG11" s="66">
        <f t="shared" si="8"/>
        <v>59.5</v>
      </c>
      <c r="AH11" s="66">
        <f t="shared" si="8"/>
        <v>178</v>
      </c>
      <c r="AI11" s="66">
        <f t="shared" si="8"/>
        <v>148</v>
      </c>
      <c r="AJ11" s="66">
        <f t="shared" si="8"/>
        <v>31</v>
      </c>
      <c r="AK11" s="66">
        <f t="shared" si="8"/>
        <v>6</v>
      </c>
      <c r="AL11" s="66">
        <f t="shared" si="8"/>
        <v>1.5</v>
      </c>
      <c r="AM11" s="66">
        <f t="shared" si="8"/>
        <v>8</v>
      </c>
      <c r="AN11" s="66">
        <f t="shared" si="8"/>
        <v>25.5</v>
      </c>
      <c r="AO11" s="66">
        <f t="shared" si="8"/>
        <v>7.5</v>
      </c>
      <c r="AU11" s="48"/>
      <c r="AV11" s="48"/>
      <c r="AW11" s="48"/>
      <c r="AX11" s="48"/>
      <c r="AY11" s="48"/>
    </row>
    <row r="12" spans="1:51">
      <c r="A12" s="1">
        <f t="shared" si="10"/>
        <v>0.33333333333333337</v>
      </c>
      <c r="B12" s="1">
        <f t="shared" si="1"/>
        <v>0.35416666666666669</v>
      </c>
      <c r="C12" s="17"/>
      <c r="D12" s="17"/>
      <c r="E12" s="18"/>
      <c r="F12" s="18"/>
      <c r="G12" s="18"/>
      <c r="H12" s="18"/>
      <c r="I12" s="18"/>
      <c r="J12" s="18"/>
      <c r="K12" s="18"/>
      <c r="L12" s="18"/>
      <c r="O12" s="24">
        <v>114</v>
      </c>
      <c r="P12" s="24">
        <v>296</v>
      </c>
      <c r="Q12" s="24">
        <v>133</v>
      </c>
      <c r="R12" s="25">
        <v>39</v>
      </c>
      <c r="S12" s="25">
        <v>5</v>
      </c>
      <c r="T12" s="25">
        <v>0</v>
      </c>
      <c r="U12" s="25">
        <v>6</v>
      </c>
      <c r="V12" s="25">
        <v>14</v>
      </c>
      <c r="W12" s="25">
        <v>5</v>
      </c>
      <c r="X12" s="25">
        <f t="shared" si="2"/>
        <v>0</v>
      </c>
      <c r="Y12" s="26">
        <f t="shared" si="3"/>
        <v>286</v>
      </c>
      <c r="Z12" s="27">
        <f t="shared" si="4"/>
        <v>307</v>
      </c>
      <c r="AA12" s="27">
        <f t="shared" si="5"/>
        <v>19</v>
      </c>
      <c r="AB12" s="26">
        <f t="shared" si="6"/>
        <v>612</v>
      </c>
      <c r="AC12" s="28">
        <f t="shared" si="7"/>
        <v>427.5</v>
      </c>
      <c r="AG12" s="66">
        <f t="shared" si="8"/>
        <v>57</v>
      </c>
      <c r="AH12" s="66">
        <f t="shared" si="8"/>
        <v>148</v>
      </c>
      <c r="AI12" s="66">
        <f t="shared" si="8"/>
        <v>133</v>
      </c>
      <c r="AJ12" s="66">
        <f t="shared" si="8"/>
        <v>39</v>
      </c>
      <c r="AK12" s="66">
        <f t="shared" si="8"/>
        <v>5</v>
      </c>
      <c r="AL12" s="66">
        <f t="shared" si="8"/>
        <v>0</v>
      </c>
      <c r="AM12" s="66">
        <f t="shared" si="8"/>
        <v>12</v>
      </c>
      <c r="AN12" s="66">
        <f t="shared" si="8"/>
        <v>21</v>
      </c>
      <c r="AO12" s="66">
        <f t="shared" si="8"/>
        <v>12.5</v>
      </c>
      <c r="AU12" s="48"/>
      <c r="AV12" s="48"/>
      <c r="AW12" s="48"/>
      <c r="AX12" s="48"/>
      <c r="AY12" s="48"/>
    </row>
    <row r="13" spans="1:51">
      <c r="A13" s="2">
        <f t="shared" si="10"/>
        <v>0.35416666666666669</v>
      </c>
      <c r="B13" s="2">
        <f t="shared" si="1"/>
        <v>0.375</v>
      </c>
      <c r="C13" s="19"/>
      <c r="D13" s="19"/>
      <c r="E13" s="20"/>
      <c r="F13" s="20"/>
      <c r="G13" s="20"/>
      <c r="H13" s="20"/>
      <c r="I13" s="20"/>
      <c r="J13" s="20"/>
      <c r="K13" s="20"/>
      <c r="L13" s="20"/>
      <c r="O13" s="29">
        <v>124</v>
      </c>
      <c r="P13" s="29">
        <v>226</v>
      </c>
      <c r="Q13" s="29">
        <v>130</v>
      </c>
      <c r="R13" s="30">
        <v>49</v>
      </c>
      <c r="S13" s="30">
        <v>5</v>
      </c>
      <c r="T13" s="30">
        <v>2</v>
      </c>
      <c r="U13" s="30">
        <v>9</v>
      </c>
      <c r="V13" s="30">
        <v>18</v>
      </c>
      <c r="W13" s="30">
        <v>10</v>
      </c>
      <c r="X13" s="30">
        <f t="shared" si="2"/>
        <v>0</v>
      </c>
      <c r="Y13" s="31">
        <f t="shared" si="3"/>
        <v>303</v>
      </c>
      <c r="Z13" s="32">
        <f t="shared" si="4"/>
        <v>242</v>
      </c>
      <c r="AA13" s="32">
        <f t="shared" si="5"/>
        <v>28</v>
      </c>
      <c r="AB13" s="31">
        <f t="shared" si="6"/>
        <v>573</v>
      </c>
      <c r="AC13" s="33">
        <f t="shared" si="7"/>
        <v>432</v>
      </c>
      <c r="AG13" s="66">
        <f t="shared" si="8"/>
        <v>62</v>
      </c>
      <c r="AH13" s="66">
        <f t="shared" si="8"/>
        <v>113</v>
      </c>
      <c r="AI13" s="66">
        <f t="shared" si="8"/>
        <v>130</v>
      </c>
      <c r="AJ13" s="66">
        <f t="shared" si="8"/>
        <v>49</v>
      </c>
      <c r="AK13" s="66">
        <f t="shared" si="8"/>
        <v>5</v>
      </c>
      <c r="AL13" s="66">
        <f t="shared" si="8"/>
        <v>3</v>
      </c>
      <c r="AM13" s="66">
        <f t="shared" si="8"/>
        <v>18</v>
      </c>
      <c r="AN13" s="66">
        <f t="shared" si="8"/>
        <v>27</v>
      </c>
      <c r="AO13" s="66">
        <f t="shared" si="8"/>
        <v>25</v>
      </c>
      <c r="AU13" s="48"/>
      <c r="AV13" s="48"/>
      <c r="AW13" s="48"/>
      <c r="AX13" s="48"/>
      <c r="AY13" s="48"/>
    </row>
    <row r="14" spans="1:51">
      <c r="A14" s="3">
        <f t="shared" si="10"/>
        <v>0.375</v>
      </c>
      <c r="B14" s="3">
        <f t="shared" si="1"/>
        <v>0.39583333333333331</v>
      </c>
      <c r="C14" s="21"/>
      <c r="D14" s="21"/>
      <c r="E14" s="22"/>
      <c r="F14" s="22"/>
      <c r="G14" s="22"/>
      <c r="H14" s="22"/>
      <c r="I14" s="22"/>
      <c r="J14" s="22"/>
      <c r="K14" s="22"/>
      <c r="L14" s="22"/>
      <c r="O14" s="34">
        <v>105</v>
      </c>
      <c r="P14" s="34">
        <v>208</v>
      </c>
      <c r="Q14" s="34">
        <v>142</v>
      </c>
      <c r="R14" s="35">
        <v>29</v>
      </c>
      <c r="S14" s="35">
        <v>4</v>
      </c>
      <c r="T14" s="35">
        <v>1</v>
      </c>
      <c r="U14" s="35">
        <v>22</v>
      </c>
      <c r="V14" s="35">
        <v>9</v>
      </c>
      <c r="W14" s="35">
        <v>7</v>
      </c>
      <c r="X14" s="35">
        <f t="shared" si="2"/>
        <v>0</v>
      </c>
      <c r="Y14" s="36">
        <f t="shared" si="3"/>
        <v>276</v>
      </c>
      <c r="Z14" s="37">
        <f t="shared" si="4"/>
        <v>235</v>
      </c>
      <c r="AA14" s="37">
        <f t="shared" si="5"/>
        <v>16</v>
      </c>
      <c r="AB14" s="36">
        <f t="shared" si="6"/>
        <v>527</v>
      </c>
      <c r="AC14" s="38">
        <f t="shared" si="7"/>
        <v>408</v>
      </c>
      <c r="AG14" s="66">
        <f t="shared" si="8"/>
        <v>52.5</v>
      </c>
      <c r="AH14" s="66">
        <f t="shared" si="8"/>
        <v>104</v>
      </c>
      <c r="AI14" s="66">
        <f t="shared" si="8"/>
        <v>142</v>
      </c>
      <c r="AJ14" s="66">
        <f t="shared" si="8"/>
        <v>29</v>
      </c>
      <c r="AK14" s="66">
        <f t="shared" si="8"/>
        <v>4</v>
      </c>
      <c r="AL14" s="66">
        <f t="shared" si="8"/>
        <v>1.5</v>
      </c>
      <c r="AM14" s="66">
        <f t="shared" si="8"/>
        <v>44</v>
      </c>
      <c r="AN14" s="66">
        <f t="shared" si="8"/>
        <v>13.5</v>
      </c>
      <c r="AO14" s="66">
        <f t="shared" si="8"/>
        <v>17.5</v>
      </c>
      <c r="AQ14" s="49">
        <f t="shared" ref="AQ14:AY14" si="11">SUM(O14:O17)</f>
        <v>315</v>
      </c>
      <c r="AR14" s="49">
        <f t="shared" si="11"/>
        <v>886</v>
      </c>
      <c r="AS14" s="49">
        <f t="shared" si="11"/>
        <v>486</v>
      </c>
      <c r="AT14" s="49">
        <f t="shared" si="11"/>
        <v>132</v>
      </c>
      <c r="AU14" s="49">
        <f t="shared" si="11"/>
        <v>22</v>
      </c>
      <c r="AV14" s="49">
        <f t="shared" si="11"/>
        <v>2</v>
      </c>
      <c r="AW14" s="49">
        <f t="shared" si="11"/>
        <v>74</v>
      </c>
      <c r="AX14" s="49">
        <f t="shared" si="11"/>
        <v>38</v>
      </c>
      <c r="AY14" s="49">
        <f t="shared" si="11"/>
        <v>27</v>
      </c>
    </row>
    <row r="15" spans="1:51">
      <c r="A15" s="1">
        <f t="shared" si="10"/>
        <v>0.39583333333333331</v>
      </c>
      <c r="B15" s="1">
        <f t="shared" si="1"/>
        <v>0.41666666666666663</v>
      </c>
      <c r="C15" s="17"/>
      <c r="D15" s="17"/>
      <c r="E15" s="18"/>
      <c r="F15" s="18"/>
      <c r="G15" s="18"/>
      <c r="H15" s="18"/>
      <c r="I15" s="18"/>
      <c r="J15" s="18"/>
      <c r="K15" s="18"/>
      <c r="L15" s="18"/>
      <c r="O15" s="24">
        <v>67</v>
      </c>
      <c r="P15" s="24">
        <v>231</v>
      </c>
      <c r="Q15" s="24">
        <v>105</v>
      </c>
      <c r="R15" s="25">
        <v>36</v>
      </c>
      <c r="S15" s="25">
        <v>8</v>
      </c>
      <c r="T15" s="25">
        <v>0</v>
      </c>
      <c r="U15" s="25">
        <v>14</v>
      </c>
      <c r="V15" s="25">
        <v>11</v>
      </c>
      <c r="W15" s="25">
        <v>11</v>
      </c>
      <c r="X15" s="25">
        <f t="shared" si="2"/>
        <v>0</v>
      </c>
      <c r="Y15" s="26">
        <f t="shared" si="3"/>
        <v>208</v>
      </c>
      <c r="Z15" s="27">
        <f t="shared" si="4"/>
        <v>253</v>
      </c>
      <c r="AA15" s="27">
        <f t="shared" si="5"/>
        <v>22</v>
      </c>
      <c r="AB15" s="26">
        <f t="shared" si="6"/>
        <v>483</v>
      </c>
      <c r="AC15" s="28">
        <f t="shared" si="7"/>
        <v>370</v>
      </c>
      <c r="AG15" s="66">
        <f t="shared" si="8"/>
        <v>33.5</v>
      </c>
      <c r="AH15" s="66">
        <f t="shared" si="8"/>
        <v>115.5</v>
      </c>
      <c r="AI15" s="66">
        <f t="shared" si="8"/>
        <v>105</v>
      </c>
      <c r="AJ15" s="66">
        <f t="shared" si="8"/>
        <v>36</v>
      </c>
      <c r="AK15" s="66">
        <f t="shared" si="8"/>
        <v>8</v>
      </c>
      <c r="AL15" s="66">
        <f t="shared" si="8"/>
        <v>0</v>
      </c>
      <c r="AM15" s="66">
        <f t="shared" si="8"/>
        <v>28</v>
      </c>
      <c r="AN15" s="66">
        <f t="shared" si="8"/>
        <v>16.5</v>
      </c>
      <c r="AO15" s="66">
        <f t="shared" si="8"/>
        <v>27.5</v>
      </c>
      <c r="AU15" s="48"/>
      <c r="AV15" s="48"/>
      <c r="AW15" s="48"/>
      <c r="AX15" s="48"/>
      <c r="AY15" s="48"/>
    </row>
    <row r="16" spans="1:51">
      <c r="A16" s="1">
        <f t="shared" si="10"/>
        <v>0.41666666666666663</v>
      </c>
      <c r="B16" s="1">
        <f t="shared" si="1"/>
        <v>0.43749999999999994</v>
      </c>
      <c r="C16" s="17"/>
      <c r="D16" s="17"/>
      <c r="E16" s="18"/>
      <c r="F16" s="18"/>
      <c r="G16" s="18"/>
      <c r="H16" s="18"/>
      <c r="I16" s="18"/>
      <c r="J16" s="18"/>
      <c r="K16" s="18"/>
      <c r="L16" s="18"/>
      <c r="O16" s="24">
        <v>63</v>
      </c>
      <c r="P16" s="24">
        <v>238</v>
      </c>
      <c r="Q16" s="24">
        <v>125</v>
      </c>
      <c r="R16" s="25">
        <v>37</v>
      </c>
      <c r="S16" s="25">
        <v>5</v>
      </c>
      <c r="T16" s="25">
        <v>0</v>
      </c>
      <c r="U16" s="25">
        <v>18</v>
      </c>
      <c r="V16" s="25">
        <v>9</v>
      </c>
      <c r="W16" s="25">
        <v>3</v>
      </c>
      <c r="X16" s="25">
        <f t="shared" si="2"/>
        <v>0</v>
      </c>
      <c r="Y16" s="26">
        <f t="shared" si="3"/>
        <v>225</v>
      </c>
      <c r="Z16" s="27">
        <f t="shared" si="4"/>
        <v>261</v>
      </c>
      <c r="AA16" s="27">
        <f t="shared" si="5"/>
        <v>12</v>
      </c>
      <c r="AB16" s="26">
        <f t="shared" si="6"/>
        <v>498</v>
      </c>
      <c r="AC16" s="28">
        <f t="shared" si="7"/>
        <v>374.5</v>
      </c>
      <c r="AG16" s="66">
        <f t="shared" si="8"/>
        <v>31.5</v>
      </c>
      <c r="AH16" s="66">
        <f t="shared" si="8"/>
        <v>119</v>
      </c>
      <c r="AI16" s="66">
        <f t="shared" si="8"/>
        <v>125</v>
      </c>
      <c r="AJ16" s="66">
        <f t="shared" si="8"/>
        <v>37</v>
      </c>
      <c r="AK16" s="66">
        <f t="shared" si="8"/>
        <v>5</v>
      </c>
      <c r="AL16" s="66">
        <f t="shared" si="8"/>
        <v>0</v>
      </c>
      <c r="AM16" s="66">
        <f t="shared" si="8"/>
        <v>36</v>
      </c>
      <c r="AN16" s="66">
        <f t="shared" si="8"/>
        <v>13.5</v>
      </c>
      <c r="AO16" s="66">
        <f t="shared" si="8"/>
        <v>7.5</v>
      </c>
      <c r="AU16" s="48"/>
      <c r="AV16" s="48"/>
      <c r="AW16" s="48"/>
      <c r="AX16" s="48"/>
      <c r="AY16" s="48"/>
    </row>
    <row r="17" spans="1:51">
      <c r="A17" s="2">
        <f t="shared" si="10"/>
        <v>0.43749999999999994</v>
      </c>
      <c r="B17" s="2">
        <f t="shared" si="1"/>
        <v>0.45833333333333326</v>
      </c>
      <c r="C17" s="19"/>
      <c r="D17" s="19"/>
      <c r="E17" s="20"/>
      <c r="F17" s="20"/>
      <c r="G17" s="20"/>
      <c r="H17" s="20"/>
      <c r="I17" s="20"/>
      <c r="J17" s="20"/>
      <c r="K17" s="20"/>
      <c r="L17" s="20"/>
      <c r="O17" s="29">
        <v>80</v>
      </c>
      <c r="P17" s="29">
        <v>209</v>
      </c>
      <c r="Q17" s="29">
        <v>114</v>
      </c>
      <c r="R17" s="30">
        <v>30</v>
      </c>
      <c r="S17" s="30">
        <v>5</v>
      </c>
      <c r="T17" s="30">
        <v>1</v>
      </c>
      <c r="U17" s="30">
        <v>20</v>
      </c>
      <c r="V17" s="30">
        <v>9</v>
      </c>
      <c r="W17" s="30">
        <v>6</v>
      </c>
      <c r="X17" s="30">
        <f t="shared" si="2"/>
        <v>0</v>
      </c>
      <c r="Y17" s="31">
        <f t="shared" si="3"/>
        <v>224</v>
      </c>
      <c r="Z17" s="32">
        <f t="shared" si="4"/>
        <v>235</v>
      </c>
      <c r="AA17" s="32">
        <f t="shared" si="5"/>
        <v>15</v>
      </c>
      <c r="AB17" s="31">
        <f t="shared" si="6"/>
        <v>474</v>
      </c>
      <c r="AC17" s="33">
        <f t="shared" si="7"/>
        <v>363.5</v>
      </c>
      <c r="AG17" s="66">
        <f t="shared" si="8"/>
        <v>40</v>
      </c>
      <c r="AH17" s="66">
        <f t="shared" si="8"/>
        <v>104.5</v>
      </c>
      <c r="AI17" s="66">
        <f t="shared" si="8"/>
        <v>114</v>
      </c>
      <c r="AJ17" s="66">
        <f t="shared" si="8"/>
        <v>30</v>
      </c>
      <c r="AK17" s="66">
        <f t="shared" si="8"/>
        <v>5</v>
      </c>
      <c r="AL17" s="66">
        <f t="shared" si="8"/>
        <v>1.5</v>
      </c>
      <c r="AM17" s="66">
        <f t="shared" si="8"/>
        <v>40</v>
      </c>
      <c r="AN17" s="66">
        <f t="shared" si="8"/>
        <v>13.5</v>
      </c>
      <c r="AO17" s="66">
        <f t="shared" si="8"/>
        <v>15</v>
      </c>
      <c r="AU17" s="48"/>
      <c r="AV17" s="48"/>
      <c r="AW17" s="48"/>
      <c r="AX17" s="48"/>
      <c r="AY17" s="48"/>
    </row>
    <row r="18" spans="1:51">
      <c r="A18" s="3">
        <f t="shared" si="10"/>
        <v>0.45833333333333326</v>
      </c>
      <c r="B18" s="3">
        <f t="shared" si="1"/>
        <v>0.47916666666666657</v>
      </c>
      <c r="C18" s="21"/>
      <c r="D18" s="21"/>
      <c r="E18" s="22"/>
      <c r="F18" s="22"/>
      <c r="G18" s="22"/>
      <c r="H18" s="22"/>
      <c r="I18" s="22"/>
      <c r="J18" s="22"/>
      <c r="K18" s="22"/>
      <c r="L18" s="22"/>
      <c r="O18" s="34">
        <v>96</v>
      </c>
      <c r="P18" s="34">
        <v>264</v>
      </c>
      <c r="Q18" s="34">
        <v>141</v>
      </c>
      <c r="R18" s="35">
        <v>37</v>
      </c>
      <c r="S18" s="35">
        <v>2</v>
      </c>
      <c r="T18" s="35">
        <v>0</v>
      </c>
      <c r="U18" s="35">
        <v>6</v>
      </c>
      <c r="V18" s="35">
        <v>20</v>
      </c>
      <c r="W18" s="35">
        <v>6</v>
      </c>
      <c r="X18" s="35">
        <f t="shared" si="2"/>
        <v>0</v>
      </c>
      <c r="Y18" s="36">
        <f t="shared" si="3"/>
        <v>274</v>
      </c>
      <c r="Z18" s="37">
        <f t="shared" si="4"/>
        <v>272</v>
      </c>
      <c r="AA18" s="37">
        <f t="shared" si="5"/>
        <v>26</v>
      </c>
      <c r="AB18" s="36">
        <f t="shared" si="6"/>
        <v>572</v>
      </c>
      <c r="AC18" s="38">
        <f t="shared" si="7"/>
        <v>417</v>
      </c>
      <c r="AG18" s="66">
        <f t="shared" si="8"/>
        <v>48</v>
      </c>
      <c r="AH18" s="66">
        <f t="shared" si="8"/>
        <v>132</v>
      </c>
      <c r="AI18" s="66">
        <f t="shared" si="8"/>
        <v>141</v>
      </c>
      <c r="AJ18" s="66">
        <f t="shared" si="8"/>
        <v>37</v>
      </c>
      <c r="AK18" s="66">
        <f t="shared" si="8"/>
        <v>2</v>
      </c>
      <c r="AL18" s="66">
        <f t="shared" si="8"/>
        <v>0</v>
      </c>
      <c r="AM18" s="66">
        <f t="shared" si="8"/>
        <v>12</v>
      </c>
      <c r="AN18" s="66">
        <f t="shared" si="8"/>
        <v>30</v>
      </c>
      <c r="AO18" s="66">
        <f t="shared" si="8"/>
        <v>15</v>
      </c>
      <c r="AQ18" s="49">
        <f t="shared" ref="AQ18:AY18" si="12">SUM(O18:O21)</f>
        <v>378</v>
      </c>
      <c r="AR18" s="49">
        <f t="shared" si="12"/>
        <v>1045</v>
      </c>
      <c r="AS18" s="49">
        <f t="shared" si="12"/>
        <v>497</v>
      </c>
      <c r="AT18" s="49">
        <f t="shared" si="12"/>
        <v>140</v>
      </c>
      <c r="AU18" s="49">
        <f t="shared" si="12"/>
        <v>13</v>
      </c>
      <c r="AV18" s="49">
        <f t="shared" si="12"/>
        <v>5</v>
      </c>
      <c r="AW18" s="49">
        <f t="shared" si="12"/>
        <v>35</v>
      </c>
      <c r="AX18" s="49">
        <f t="shared" si="12"/>
        <v>55</v>
      </c>
      <c r="AY18" s="49">
        <f t="shared" si="12"/>
        <v>26</v>
      </c>
    </row>
    <row r="19" spans="1:51">
      <c r="A19" s="1">
        <f t="shared" si="10"/>
        <v>0.47916666666666657</v>
      </c>
      <c r="B19" s="1">
        <f t="shared" si="1"/>
        <v>0.49999999999999989</v>
      </c>
      <c r="C19" s="17"/>
      <c r="D19" s="17"/>
      <c r="E19" s="18"/>
      <c r="F19" s="18"/>
      <c r="G19" s="18"/>
      <c r="H19" s="18"/>
      <c r="I19" s="18"/>
      <c r="J19" s="18"/>
      <c r="K19" s="18"/>
      <c r="L19" s="18"/>
      <c r="O19" s="24">
        <v>75</v>
      </c>
      <c r="P19" s="24">
        <v>268</v>
      </c>
      <c r="Q19" s="24">
        <v>118</v>
      </c>
      <c r="R19" s="25">
        <v>32</v>
      </c>
      <c r="S19" s="25">
        <v>4</v>
      </c>
      <c r="T19" s="25">
        <v>0</v>
      </c>
      <c r="U19" s="25">
        <v>16</v>
      </c>
      <c r="V19" s="25">
        <v>7</v>
      </c>
      <c r="W19" s="25">
        <v>9</v>
      </c>
      <c r="X19" s="25">
        <f t="shared" si="2"/>
        <v>0</v>
      </c>
      <c r="Y19" s="26">
        <f t="shared" si="3"/>
        <v>225</v>
      </c>
      <c r="Z19" s="27">
        <f t="shared" si="4"/>
        <v>288</v>
      </c>
      <c r="AA19" s="27">
        <f t="shared" si="5"/>
        <v>16</v>
      </c>
      <c r="AB19" s="26">
        <f t="shared" si="6"/>
        <v>529</v>
      </c>
      <c r="AC19" s="28">
        <f t="shared" si="7"/>
        <v>390.5</v>
      </c>
      <c r="AG19" s="66">
        <f t="shared" si="8"/>
        <v>37.5</v>
      </c>
      <c r="AH19" s="66">
        <f t="shared" si="8"/>
        <v>134</v>
      </c>
      <c r="AI19" s="66">
        <f t="shared" si="8"/>
        <v>118</v>
      </c>
      <c r="AJ19" s="66">
        <f t="shared" si="8"/>
        <v>32</v>
      </c>
      <c r="AK19" s="66">
        <f t="shared" si="8"/>
        <v>4</v>
      </c>
      <c r="AL19" s="66">
        <f t="shared" si="8"/>
        <v>0</v>
      </c>
      <c r="AM19" s="66">
        <f t="shared" si="8"/>
        <v>32</v>
      </c>
      <c r="AN19" s="66">
        <f t="shared" si="8"/>
        <v>10.5</v>
      </c>
      <c r="AO19" s="66">
        <f t="shared" si="8"/>
        <v>22.5</v>
      </c>
      <c r="AU19" s="48"/>
      <c r="AV19" s="48"/>
      <c r="AW19" s="48"/>
      <c r="AX19" s="48"/>
      <c r="AY19" s="48"/>
    </row>
    <row r="20" spans="1:51">
      <c r="A20" s="1">
        <f t="shared" si="10"/>
        <v>0.49999999999999989</v>
      </c>
      <c r="B20" s="1">
        <f t="shared" si="1"/>
        <v>0.52083333333333326</v>
      </c>
      <c r="C20" s="17"/>
      <c r="D20" s="17"/>
      <c r="E20" s="18"/>
      <c r="F20" s="18"/>
      <c r="G20" s="18"/>
      <c r="H20" s="18"/>
      <c r="I20" s="18"/>
      <c r="J20" s="18"/>
      <c r="K20" s="18"/>
      <c r="L20" s="18"/>
      <c r="O20" s="24">
        <v>115</v>
      </c>
      <c r="P20" s="24">
        <v>283</v>
      </c>
      <c r="Q20" s="24">
        <v>140</v>
      </c>
      <c r="R20" s="25">
        <v>42</v>
      </c>
      <c r="S20" s="25">
        <v>6</v>
      </c>
      <c r="T20" s="25">
        <v>3</v>
      </c>
      <c r="U20" s="25">
        <v>10</v>
      </c>
      <c r="V20" s="25">
        <v>14</v>
      </c>
      <c r="W20" s="25">
        <v>5</v>
      </c>
      <c r="X20" s="25">
        <f t="shared" si="2"/>
        <v>0</v>
      </c>
      <c r="Y20" s="26">
        <f t="shared" si="3"/>
        <v>297</v>
      </c>
      <c r="Z20" s="27">
        <f t="shared" si="4"/>
        <v>302</v>
      </c>
      <c r="AA20" s="27">
        <f t="shared" si="5"/>
        <v>19</v>
      </c>
      <c r="AB20" s="26">
        <f t="shared" si="6"/>
        <v>618</v>
      </c>
      <c r="AC20" s="28">
        <f t="shared" si="7"/>
        <v>445</v>
      </c>
      <c r="AG20" s="66">
        <f t="shared" si="8"/>
        <v>57.5</v>
      </c>
      <c r="AH20" s="66">
        <f t="shared" si="8"/>
        <v>141.5</v>
      </c>
      <c r="AI20" s="66">
        <f t="shared" si="8"/>
        <v>140</v>
      </c>
      <c r="AJ20" s="66">
        <f t="shared" si="8"/>
        <v>42</v>
      </c>
      <c r="AK20" s="66">
        <f t="shared" si="8"/>
        <v>6</v>
      </c>
      <c r="AL20" s="66">
        <f t="shared" si="8"/>
        <v>4.5</v>
      </c>
      <c r="AM20" s="66">
        <f t="shared" si="8"/>
        <v>20</v>
      </c>
      <c r="AN20" s="66">
        <f t="shared" si="8"/>
        <v>21</v>
      </c>
      <c r="AO20" s="66">
        <f t="shared" si="8"/>
        <v>12.5</v>
      </c>
      <c r="AU20" s="48"/>
      <c r="AV20" s="48"/>
      <c r="AW20" s="48"/>
      <c r="AX20" s="48"/>
      <c r="AY20" s="48"/>
    </row>
    <row r="21" spans="1:51">
      <c r="A21" s="2">
        <f t="shared" si="10"/>
        <v>0.52083333333333326</v>
      </c>
      <c r="B21" s="2">
        <f t="shared" si="1"/>
        <v>0.54166666666666663</v>
      </c>
      <c r="C21" s="19"/>
      <c r="D21" s="19"/>
      <c r="E21" s="20"/>
      <c r="F21" s="20"/>
      <c r="G21" s="20"/>
      <c r="H21" s="20"/>
      <c r="I21" s="20"/>
      <c r="J21" s="20"/>
      <c r="K21" s="20"/>
      <c r="L21" s="20"/>
      <c r="O21" s="29">
        <v>92</v>
      </c>
      <c r="P21" s="29">
        <v>230</v>
      </c>
      <c r="Q21" s="29">
        <v>98</v>
      </c>
      <c r="R21" s="30">
        <v>29</v>
      </c>
      <c r="S21" s="30">
        <v>1</v>
      </c>
      <c r="T21" s="30">
        <v>2</v>
      </c>
      <c r="U21" s="30">
        <v>3</v>
      </c>
      <c r="V21" s="30">
        <v>14</v>
      </c>
      <c r="W21" s="30">
        <v>6</v>
      </c>
      <c r="X21" s="30">
        <f t="shared" si="2"/>
        <v>0</v>
      </c>
      <c r="Y21" s="31">
        <f t="shared" si="3"/>
        <v>219</v>
      </c>
      <c r="Z21" s="32">
        <f t="shared" si="4"/>
        <v>236</v>
      </c>
      <c r="AA21" s="32">
        <f t="shared" si="5"/>
        <v>20</v>
      </c>
      <c r="AB21" s="31">
        <f t="shared" si="6"/>
        <v>475</v>
      </c>
      <c r="AC21" s="33">
        <f t="shared" si="7"/>
        <v>334</v>
      </c>
      <c r="AG21" s="66">
        <f t="shared" si="8"/>
        <v>46</v>
      </c>
      <c r="AH21" s="66">
        <f t="shared" si="8"/>
        <v>115</v>
      </c>
      <c r="AI21" s="66">
        <f t="shared" si="8"/>
        <v>98</v>
      </c>
      <c r="AJ21" s="66">
        <f t="shared" si="8"/>
        <v>29</v>
      </c>
      <c r="AK21" s="66">
        <f t="shared" si="8"/>
        <v>1</v>
      </c>
      <c r="AL21" s="66">
        <f t="shared" si="8"/>
        <v>3</v>
      </c>
      <c r="AM21" s="66">
        <f t="shared" si="8"/>
        <v>6</v>
      </c>
      <c r="AN21" s="66">
        <f t="shared" si="8"/>
        <v>21</v>
      </c>
      <c r="AO21" s="66">
        <f t="shared" si="8"/>
        <v>15</v>
      </c>
      <c r="AU21" s="48"/>
      <c r="AV21" s="48"/>
      <c r="AW21" s="48"/>
      <c r="AX21" s="48"/>
      <c r="AY21" s="48"/>
    </row>
    <row r="22" spans="1:51">
      <c r="A22" s="3">
        <f t="shared" si="10"/>
        <v>0.54166666666666663</v>
      </c>
      <c r="B22" s="3">
        <f t="shared" si="1"/>
        <v>0.5625</v>
      </c>
      <c r="C22" s="21"/>
      <c r="D22" s="21"/>
      <c r="E22" s="22"/>
      <c r="F22" s="22"/>
      <c r="G22" s="22"/>
      <c r="H22" s="22"/>
      <c r="I22" s="22"/>
      <c r="J22" s="22"/>
      <c r="K22" s="22"/>
      <c r="L22" s="22"/>
      <c r="O22" s="34">
        <v>52</v>
      </c>
      <c r="P22" s="34">
        <v>250</v>
      </c>
      <c r="Q22" s="34">
        <v>90</v>
      </c>
      <c r="R22" s="35">
        <v>30</v>
      </c>
      <c r="S22" s="35">
        <v>4</v>
      </c>
      <c r="T22" s="35">
        <v>1</v>
      </c>
      <c r="U22" s="35">
        <v>8</v>
      </c>
      <c r="V22" s="35">
        <v>13</v>
      </c>
      <c r="W22" s="35">
        <v>3</v>
      </c>
      <c r="X22" s="35">
        <f t="shared" si="2"/>
        <v>0</v>
      </c>
      <c r="Y22" s="36">
        <f t="shared" si="3"/>
        <v>172</v>
      </c>
      <c r="Z22" s="37">
        <f t="shared" si="4"/>
        <v>263</v>
      </c>
      <c r="AA22" s="37">
        <f t="shared" si="5"/>
        <v>16</v>
      </c>
      <c r="AB22" s="36">
        <f t="shared" si="6"/>
        <v>451</v>
      </c>
      <c r="AC22" s="38">
        <f t="shared" si="7"/>
        <v>319.5</v>
      </c>
      <c r="AG22" s="66">
        <f t="shared" si="8"/>
        <v>26</v>
      </c>
      <c r="AH22" s="66">
        <f t="shared" si="8"/>
        <v>125</v>
      </c>
      <c r="AI22" s="66">
        <f t="shared" si="8"/>
        <v>90</v>
      </c>
      <c r="AJ22" s="66">
        <f t="shared" si="8"/>
        <v>30</v>
      </c>
      <c r="AK22" s="66">
        <f t="shared" si="8"/>
        <v>4</v>
      </c>
      <c r="AL22" s="66">
        <f t="shared" si="8"/>
        <v>1.5</v>
      </c>
      <c r="AM22" s="66">
        <f t="shared" si="8"/>
        <v>16</v>
      </c>
      <c r="AN22" s="66">
        <f t="shared" si="8"/>
        <v>19.5</v>
      </c>
      <c r="AO22" s="66">
        <f t="shared" si="8"/>
        <v>7.5</v>
      </c>
      <c r="AQ22" s="49">
        <f t="shared" ref="AQ22:AY22" si="13">SUM(O22:O25)</f>
        <v>267</v>
      </c>
      <c r="AR22" s="49">
        <f t="shared" si="13"/>
        <v>969</v>
      </c>
      <c r="AS22" s="49">
        <f t="shared" si="13"/>
        <v>425</v>
      </c>
      <c r="AT22" s="49">
        <f t="shared" si="13"/>
        <v>121</v>
      </c>
      <c r="AU22" s="49">
        <f t="shared" si="13"/>
        <v>23</v>
      </c>
      <c r="AV22" s="49">
        <f t="shared" si="13"/>
        <v>1</v>
      </c>
      <c r="AW22" s="49">
        <f t="shared" si="13"/>
        <v>73</v>
      </c>
      <c r="AX22" s="49">
        <f t="shared" si="13"/>
        <v>44</v>
      </c>
      <c r="AY22" s="49">
        <f t="shared" si="13"/>
        <v>23</v>
      </c>
    </row>
    <row r="23" spans="1:51">
      <c r="A23" s="1">
        <f t="shared" si="10"/>
        <v>0.5625</v>
      </c>
      <c r="B23" s="1">
        <f t="shared" si="1"/>
        <v>0.58333333333333337</v>
      </c>
      <c r="C23" s="17"/>
      <c r="D23" s="17"/>
      <c r="E23" s="18"/>
      <c r="F23" s="18"/>
      <c r="G23" s="18"/>
      <c r="H23" s="18"/>
      <c r="I23" s="18"/>
      <c r="J23" s="18"/>
      <c r="K23" s="18"/>
      <c r="L23" s="18"/>
      <c r="O23" s="24">
        <v>84</v>
      </c>
      <c r="P23" s="24">
        <v>231</v>
      </c>
      <c r="Q23" s="24">
        <v>117</v>
      </c>
      <c r="R23" s="25">
        <v>29</v>
      </c>
      <c r="S23" s="25">
        <v>9</v>
      </c>
      <c r="T23" s="25">
        <v>0</v>
      </c>
      <c r="U23" s="25">
        <v>20</v>
      </c>
      <c r="V23" s="25">
        <v>15</v>
      </c>
      <c r="W23" s="25">
        <v>3</v>
      </c>
      <c r="X23" s="25">
        <f t="shared" si="2"/>
        <v>0</v>
      </c>
      <c r="Y23" s="26">
        <f t="shared" si="3"/>
        <v>230</v>
      </c>
      <c r="Z23" s="27">
        <f t="shared" si="4"/>
        <v>260</v>
      </c>
      <c r="AA23" s="27">
        <f t="shared" si="5"/>
        <v>18</v>
      </c>
      <c r="AB23" s="26">
        <f t="shared" si="6"/>
        <v>508</v>
      </c>
      <c r="AC23" s="28">
        <f t="shared" si="7"/>
        <v>382.5</v>
      </c>
      <c r="AG23" s="66">
        <f t="shared" si="8"/>
        <v>42</v>
      </c>
      <c r="AH23" s="66">
        <f t="shared" si="8"/>
        <v>115.5</v>
      </c>
      <c r="AI23" s="66">
        <f t="shared" si="8"/>
        <v>117</v>
      </c>
      <c r="AJ23" s="66">
        <f t="shared" si="8"/>
        <v>29</v>
      </c>
      <c r="AK23" s="66">
        <f t="shared" si="8"/>
        <v>9</v>
      </c>
      <c r="AL23" s="66">
        <f t="shared" si="8"/>
        <v>0</v>
      </c>
      <c r="AM23" s="66">
        <f t="shared" si="8"/>
        <v>40</v>
      </c>
      <c r="AN23" s="66">
        <f t="shared" si="8"/>
        <v>22.5</v>
      </c>
      <c r="AO23" s="66">
        <f t="shared" si="8"/>
        <v>7.5</v>
      </c>
      <c r="AU23" s="48"/>
      <c r="AV23" s="48"/>
      <c r="AW23" s="48"/>
      <c r="AX23" s="48"/>
      <c r="AY23" s="48"/>
    </row>
    <row r="24" spans="1:51">
      <c r="A24" s="1">
        <f t="shared" si="10"/>
        <v>0.58333333333333337</v>
      </c>
      <c r="B24" s="1">
        <f t="shared" si="1"/>
        <v>0.60416666666666674</v>
      </c>
      <c r="C24" s="17"/>
      <c r="D24" s="17"/>
      <c r="E24" s="18"/>
      <c r="F24" s="18"/>
      <c r="G24" s="18"/>
      <c r="H24" s="18"/>
      <c r="I24" s="18"/>
      <c r="J24" s="18"/>
      <c r="K24" s="18"/>
      <c r="L24" s="18"/>
      <c r="O24" s="24">
        <v>64</v>
      </c>
      <c r="P24" s="24">
        <v>246</v>
      </c>
      <c r="Q24" s="24">
        <v>98</v>
      </c>
      <c r="R24" s="25">
        <v>32</v>
      </c>
      <c r="S24" s="25">
        <v>7</v>
      </c>
      <c r="T24" s="25">
        <v>0</v>
      </c>
      <c r="U24" s="25">
        <v>19</v>
      </c>
      <c r="V24" s="25">
        <v>7</v>
      </c>
      <c r="W24" s="25">
        <v>9</v>
      </c>
      <c r="X24" s="25">
        <f t="shared" si="2"/>
        <v>0</v>
      </c>
      <c r="Y24" s="26">
        <f t="shared" si="3"/>
        <v>194</v>
      </c>
      <c r="Z24" s="27">
        <f t="shared" si="4"/>
        <v>272</v>
      </c>
      <c r="AA24" s="27">
        <f t="shared" si="5"/>
        <v>16</v>
      </c>
      <c r="AB24" s="26">
        <f t="shared" si="6"/>
        <v>482</v>
      </c>
      <c r="AC24" s="28">
        <f t="shared" si="7"/>
        <v>363</v>
      </c>
      <c r="AG24" s="66">
        <f t="shared" si="8"/>
        <v>32</v>
      </c>
      <c r="AH24" s="66">
        <f t="shared" si="8"/>
        <v>123</v>
      </c>
      <c r="AI24" s="66">
        <f t="shared" si="8"/>
        <v>98</v>
      </c>
      <c r="AJ24" s="66">
        <f t="shared" si="8"/>
        <v>32</v>
      </c>
      <c r="AK24" s="66">
        <f t="shared" si="8"/>
        <v>7</v>
      </c>
      <c r="AL24" s="66">
        <f t="shared" si="8"/>
        <v>0</v>
      </c>
      <c r="AM24" s="66">
        <f t="shared" si="8"/>
        <v>38</v>
      </c>
      <c r="AN24" s="66">
        <f t="shared" si="8"/>
        <v>10.5</v>
      </c>
      <c r="AO24" s="66">
        <f t="shared" si="8"/>
        <v>22.5</v>
      </c>
      <c r="AU24" s="48"/>
      <c r="AV24" s="48"/>
      <c r="AW24" s="48"/>
      <c r="AX24" s="48"/>
      <c r="AY24" s="48"/>
    </row>
    <row r="25" spans="1:51">
      <c r="A25" s="2">
        <f t="shared" si="10"/>
        <v>0.60416666666666674</v>
      </c>
      <c r="B25" s="2">
        <f t="shared" si="1"/>
        <v>0.62500000000000011</v>
      </c>
      <c r="C25" s="19"/>
      <c r="D25" s="19"/>
      <c r="E25" s="20"/>
      <c r="F25" s="20"/>
      <c r="G25" s="20"/>
      <c r="H25" s="20"/>
      <c r="I25" s="20"/>
      <c r="J25" s="20"/>
      <c r="K25" s="20"/>
      <c r="L25" s="20"/>
      <c r="O25" s="29">
        <v>67</v>
      </c>
      <c r="P25" s="29">
        <v>242</v>
      </c>
      <c r="Q25" s="29">
        <v>120</v>
      </c>
      <c r="R25" s="30">
        <v>30</v>
      </c>
      <c r="S25" s="30">
        <v>3</v>
      </c>
      <c r="T25" s="30">
        <v>0</v>
      </c>
      <c r="U25" s="30">
        <v>26</v>
      </c>
      <c r="V25" s="30">
        <v>9</v>
      </c>
      <c r="W25" s="30">
        <v>8</v>
      </c>
      <c r="X25" s="30">
        <f t="shared" si="2"/>
        <v>0</v>
      </c>
      <c r="Y25" s="31">
        <f t="shared" si="3"/>
        <v>217</v>
      </c>
      <c r="Z25" s="32">
        <f t="shared" si="4"/>
        <v>271</v>
      </c>
      <c r="AA25" s="32">
        <f t="shared" si="5"/>
        <v>17</v>
      </c>
      <c r="AB25" s="31">
        <f t="shared" si="6"/>
        <v>505</v>
      </c>
      <c r="AC25" s="33">
        <f t="shared" si="7"/>
        <v>393</v>
      </c>
      <c r="AG25" s="66">
        <f t="shared" si="8"/>
        <v>33.5</v>
      </c>
      <c r="AH25" s="66">
        <f t="shared" si="8"/>
        <v>121</v>
      </c>
      <c r="AI25" s="66">
        <f t="shared" si="8"/>
        <v>120</v>
      </c>
      <c r="AJ25" s="66">
        <f t="shared" si="8"/>
        <v>30</v>
      </c>
      <c r="AK25" s="66">
        <f t="shared" si="8"/>
        <v>3</v>
      </c>
      <c r="AL25" s="66">
        <f t="shared" si="8"/>
        <v>0</v>
      </c>
      <c r="AM25" s="66">
        <f t="shared" si="8"/>
        <v>52</v>
      </c>
      <c r="AN25" s="66">
        <f t="shared" si="8"/>
        <v>13.5</v>
      </c>
      <c r="AO25" s="66">
        <f t="shared" si="8"/>
        <v>20</v>
      </c>
      <c r="AU25" s="48"/>
      <c r="AV25" s="48"/>
      <c r="AW25" s="48"/>
      <c r="AX25" s="48"/>
      <c r="AY25" s="48"/>
    </row>
    <row r="26" spans="1:51">
      <c r="A26" s="3">
        <f t="shared" si="10"/>
        <v>0.62500000000000011</v>
      </c>
      <c r="B26" s="3">
        <f t="shared" si="1"/>
        <v>0.64583333333333348</v>
      </c>
      <c r="C26" s="21"/>
      <c r="D26" s="21"/>
      <c r="E26" s="22"/>
      <c r="F26" s="22"/>
      <c r="G26" s="22"/>
      <c r="H26" s="22"/>
      <c r="I26" s="22"/>
      <c r="J26" s="22"/>
      <c r="K26" s="22"/>
      <c r="L26" s="22"/>
      <c r="O26" s="34">
        <v>52</v>
      </c>
      <c r="P26" s="34">
        <v>252</v>
      </c>
      <c r="Q26" s="34">
        <v>145</v>
      </c>
      <c r="R26" s="35">
        <v>31</v>
      </c>
      <c r="S26" s="35">
        <v>3</v>
      </c>
      <c r="T26" s="35">
        <v>0</v>
      </c>
      <c r="U26" s="35">
        <v>15</v>
      </c>
      <c r="V26" s="35">
        <v>11</v>
      </c>
      <c r="W26" s="35">
        <v>3</v>
      </c>
      <c r="X26" s="35">
        <f t="shared" ref="O26:X47" si="14">L26-L25</f>
        <v>0</v>
      </c>
      <c r="Y26" s="36">
        <f t="shared" si="3"/>
        <v>228</v>
      </c>
      <c r="Z26" s="37">
        <f t="shared" si="4"/>
        <v>270</v>
      </c>
      <c r="AA26" s="37">
        <f t="shared" si="5"/>
        <v>14</v>
      </c>
      <c r="AB26" s="36">
        <f t="shared" si="6"/>
        <v>512</v>
      </c>
      <c r="AC26" s="38">
        <f t="shared" si="7"/>
        <v>385</v>
      </c>
      <c r="AG26" s="66">
        <f t="shared" si="8"/>
        <v>26</v>
      </c>
      <c r="AH26" s="66">
        <f t="shared" si="8"/>
        <v>126</v>
      </c>
      <c r="AI26" s="66">
        <f t="shared" si="8"/>
        <v>145</v>
      </c>
      <c r="AJ26" s="66">
        <f t="shared" si="8"/>
        <v>31</v>
      </c>
      <c r="AK26" s="66">
        <f t="shared" si="8"/>
        <v>3</v>
      </c>
      <c r="AL26" s="66">
        <f t="shared" si="8"/>
        <v>0</v>
      </c>
      <c r="AM26" s="66">
        <f t="shared" si="8"/>
        <v>30</v>
      </c>
      <c r="AN26" s="66">
        <f t="shared" si="8"/>
        <v>16.5</v>
      </c>
      <c r="AO26" s="66">
        <f t="shared" si="8"/>
        <v>7.5</v>
      </c>
      <c r="AQ26" s="49">
        <f t="shared" ref="AQ26:AY26" si="15">SUM(O26:O29)</f>
        <v>225</v>
      </c>
      <c r="AR26" s="49">
        <f t="shared" si="15"/>
        <v>1050</v>
      </c>
      <c r="AS26" s="49">
        <f t="shared" si="15"/>
        <v>517</v>
      </c>
      <c r="AT26" s="49">
        <f t="shared" si="15"/>
        <v>134</v>
      </c>
      <c r="AU26" s="49">
        <f t="shared" si="15"/>
        <v>27</v>
      </c>
      <c r="AV26" s="49">
        <f t="shared" si="15"/>
        <v>1</v>
      </c>
      <c r="AW26" s="49">
        <f t="shared" si="15"/>
        <v>58</v>
      </c>
      <c r="AX26" s="49">
        <f t="shared" si="15"/>
        <v>44</v>
      </c>
      <c r="AY26" s="49">
        <f t="shared" si="15"/>
        <v>28</v>
      </c>
    </row>
    <row r="27" spans="1:51">
      <c r="A27" s="1">
        <f t="shared" si="10"/>
        <v>0.64583333333333348</v>
      </c>
      <c r="B27" s="1">
        <f t="shared" si="1"/>
        <v>0.66666666666666685</v>
      </c>
      <c r="C27" s="17"/>
      <c r="D27" s="17"/>
      <c r="E27" s="18"/>
      <c r="F27" s="18"/>
      <c r="G27" s="18"/>
      <c r="H27" s="18"/>
      <c r="I27" s="18"/>
      <c r="J27" s="18"/>
      <c r="K27" s="18"/>
      <c r="L27" s="18"/>
      <c r="O27" s="24">
        <v>57</v>
      </c>
      <c r="P27" s="24">
        <v>235</v>
      </c>
      <c r="Q27" s="24">
        <v>125</v>
      </c>
      <c r="R27" s="25">
        <v>34</v>
      </c>
      <c r="S27" s="25">
        <v>7</v>
      </c>
      <c r="T27" s="25">
        <v>0</v>
      </c>
      <c r="U27" s="25">
        <v>23</v>
      </c>
      <c r="V27" s="25">
        <v>11</v>
      </c>
      <c r="W27" s="25">
        <v>7</v>
      </c>
      <c r="X27" s="25">
        <f t="shared" si="14"/>
        <v>0</v>
      </c>
      <c r="Y27" s="26">
        <f t="shared" si="3"/>
        <v>216</v>
      </c>
      <c r="Z27" s="27">
        <f t="shared" si="4"/>
        <v>265</v>
      </c>
      <c r="AA27" s="27">
        <f t="shared" si="5"/>
        <v>18</v>
      </c>
      <c r="AB27" s="26">
        <f t="shared" si="6"/>
        <v>499</v>
      </c>
      <c r="AC27" s="28">
        <f t="shared" si="7"/>
        <v>392</v>
      </c>
      <c r="AG27" s="66">
        <f t="shared" si="8"/>
        <v>28.5</v>
      </c>
      <c r="AH27" s="66">
        <f t="shared" si="8"/>
        <v>117.5</v>
      </c>
      <c r="AI27" s="66">
        <f t="shared" si="8"/>
        <v>125</v>
      </c>
      <c r="AJ27" s="66">
        <f t="shared" si="8"/>
        <v>34</v>
      </c>
      <c r="AK27" s="66">
        <f t="shared" si="8"/>
        <v>7</v>
      </c>
      <c r="AL27" s="66">
        <f t="shared" si="8"/>
        <v>0</v>
      </c>
      <c r="AM27" s="66">
        <f t="shared" si="8"/>
        <v>46</v>
      </c>
      <c r="AN27" s="66">
        <f t="shared" si="8"/>
        <v>16.5</v>
      </c>
      <c r="AO27" s="66">
        <f t="shared" si="8"/>
        <v>17.5</v>
      </c>
      <c r="AU27" s="48"/>
      <c r="AV27" s="48"/>
      <c r="AW27" s="48"/>
      <c r="AX27" s="48"/>
      <c r="AY27" s="48"/>
    </row>
    <row r="28" spans="1:51">
      <c r="A28" s="1">
        <f t="shared" si="10"/>
        <v>0.66666666666666685</v>
      </c>
      <c r="B28" s="1">
        <f t="shared" si="1"/>
        <v>0.68750000000000022</v>
      </c>
      <c r="C28" s="17"/>
      <c r="D28" s="17"/>
      <c r="E28" s="18"/>
      <c r="F28" s="18"/>
      <c r="G28" s="18"/>
      <c r="H28" s="18"/>
      <c r="I28" s="18"/>
      <c r="J28" s="18"/>
      <c r="K28" s="18"/>
      <c r="L28" s="18"/>
      <c r="O28" s="24">
        <v>65</v>
      </c>
      <c r="P28" s="24">
        <v>236</v>
      </c>
      <c r="Q28" s="24">
        <v>123</v>
      </c>
      <c r="R28" s="25">
        <v>36</v>
      </c>
      <c r="S28" s="25">
        <v>10</v>
      </c>
      <c r="T28" s="25">
        <v>0</v>
      </c>
      <c r="U28" s="25">
        <v>15</v>
      </c>
      <c r="V28" s="25">
        <v>12</v>
      </c>
      <c r="W28" s="25">
        <v>11</v>
      </c>
      <c r="X28" s="25">
        <f t="shared" si="14"/>
        <v>0</v>
      </c>
      <c r="Y28" s="26">
        <f t="shared" si="3"/>
        <v>224</v>
      </c>
      <c r="Z28" s="27">
        <f t="shared" si="4"/>
        <v>261</v>
      </c>
      <c r="AA28" s="27">
        <f t="shared" si="5"/>
        <v>23</v>
      </c>
      <c r="AB28" s="26">
        <f t="shared" si="6"/>
        <v>508</v>
      </c>
      <c r="AC28" s="28">
        <f t="shared" si="7"/>
        <v>395</v>
      </c>
      <c r="AG28" s="66">
        <f t="shared" si="8"/>
        <v>32.5</v>
      </c>
      <c r="AH28" s="66">
        <f t="shared" si="8"/>
        <v>118</v>
      </c>
      <c r="AI28" s="66">
        <f t="shared" si="8"/>
        <v>123</v>
      </c>
      <c r="AJ28" s="66">
        <f t="shared" si="8"/>
        <v>36</v>
      </c>
      <c r="AK28" s="66">
        <f t="shared" si="8"/>
        <v>10</v>
      </c>
      <c r="AL28" s="66">
        <f t="shared" si="8"/>
        <v>0</v>
      </c>
      <c r="AM28" s="66">
        <f t="shared" si="8"/>
        <v>30</v>
      </c>
      <c r="AN28" s="66">
        <f t="shared" si="8"/>
        <v>18</v>
      </c>
      <c r="AO28" s="66">
        <f t="shared" si="8"/>
        <v>27.5</v>
      </c>
      <c r="AU28" s="48"/>
      <c r="AV28" s="48"/>
      <c r="AW28" s="48"/>
      <c r="AX28" s="48"/>
      <c r="AY28" s="48"/>
    </row>
    <row r="29" spans="1:51" ht="15.75" thickBot="1">
      <c r="A29" s="4">
        <f t="shared" si="10"/>
        <v>0.68750000000000022</v>
      </c>
      <c r="B29" s="4">
        <f t="shared" si="1"/>
        <v>0.70833333333333359</v>
      </c>
      <c r="C29" s="19"/>
      <c r="D29" s="19"/>
      <c r="E29" s="20"/>
      <c r="F29" s="20"/>
      <c r="G29" s="20"/>
      <c r="H29" s="20"/>
      <c r="I29" s="20"/>
      <c r="J29" s="20"/>
      <c r="K29" s="20"/>
      <c r="L29" s="20"/>
      <c r="O29" s="39">
        <v>51</v>
      </c>
      <c r="P29" s="39">
        <v>327</v>
      </c>
      <c r="Q29" s="39">
        <v>124</v>
      </c>
      <c r="R29" s="40">
        <v>33</v>
      </c>
      <c r="S29" s="40">
        <v>7</v>
      </c>
      <c r="T29" s="40">
        <v>1</v>
      </c>
      <c r="U29" s="40">
        <v>5</v>
      </c>
      <c r="V29" s="40">
        <v>10</v>
      </c>
      <c r="W29" s="40">
        <v>7</v>
      </c>
      <c r="X29" s="40">
        <f t="shared" si="14"/>
        <v>0</v>
      </c>
      <c r="Y29" s="41">
        <f t="shared" si="3"/>
        <v>208</v>
      </c>
      <c r="Z29" s="42">
        <f t="shared" si="4"/>
        <v>340</v>
      </c>
      <c r="AA29" s="42">
        <f t="shared" si="5"/>
        <v>17</v>
      </c>
      <c r="AB29" s="41">
        <f t="shared" si="6"/>
        <v>565</v>
      </c>
      <c r="AC29" s="43">
        <f t="shared" si="7"/>
        <v>397</v>
      </c>
      <c r="AG29" s="66">
        <f t="shared" si="8"/>
        <v>25.5</v>
      </c>
      <c r="AH29" s="66">
        <f t="shared" si="8"/>
        <v>163.5</v>
      </c>
      <c r="AI29" s="66">
        <f t="shared" si="8"/>
        <v>124</v>
      </c>
      <c r="AJ29" s="66">
        <f t="shared" si="8"/>
        <v>33</v>
      </c>
      <c r="AK29" s="66">
        <f t="shared" si="8"/>
        <v>7</v>
      </c>
      <c r="AL29" s="66">
        <f t="shared" si="8"/>
        <v>1.5</v>
      </c>
      <c r="AM29" s="66">
        <f t="shared" si="8"/>
        <v>10</v>
      </c>
      <c r="AN29" s="66">
        <f t="shared" si="8"/>
        <v>15</v>
      </c>
      <c r="AO29" s="66">
        <f t="shared" si="8"/>
        <v>17.5</v>
      </c>
      <c r="AU29" s="48"/>
      <c r="AV29" s="48"/>
      <c r="AW29" s="48"/>
      <c r="AX29" s="48"/>
      <c r="AY29" s="48"/>
    </row>
    <row r="30" spans="1:51">
      <c r="A30" s="3">
        <f t="shared" si="10"/>
        <v>0.70833333333333359</v>
      </c>
      <c r="B30" s="3">
        <f t="shared" si="1"/>
        <v>0.72916666666666696</v>
      </c>
      <c r="C30" s="21"/>
      <c r="D30" s="21"/>
      <c r="E30" s="22"/>
      <c r="F30" s="22"/>
      <c r="G30" s="22"/>
      <c r="H30" s="22"/>
      <c r="I30" s="22"/>
      <c r="J30" s="22"/>
      <c r="K30" s="22"/>
      <c r="L30" s="22"/>
      <c r="O30" s="34">
        <v>118</v>
      </c>
      <c r="P30" s="34">
        <v>557</v>
      </c>
      <c r="Q30" s="34">
        <v>189</v>
      </c>
      <c r="R30" s="35">
        <v>40</v>
      </c>
      <c r="S30" s="35">
        <v>4</v>
      </c>
      <c r="T30" s="35">
        <v>0</v>
      </c>
      <c r="U30" s="35">
        <v>14</v>
      </c>
      <c r="V30" s="35">
        <v>9</v>
      </c>
      <c r="W30" s="35">
        <v>7</v>
      </c>
      <c r="X30" s="35">
        <f t="shared" si="14"/>
        <v>0</v>
      </c>
      <c r="Y30" s="36">
        <f t="shared" si="3"/>
        <v>347</v>
      </c>
      <c r="Z30" s="37">
        <f t="shared" si="4"/>
        <v>575</v>
      </c>
      <c r="AA30" s="37">
        <f t="shared" si="5"/>
        <v>16</v>
      </c>
      <c r="AB30" s="36">
        <f t="shared" si="6"/>
        <v>938</v>
      </c>
      <c r="AC30" s="38">
        <f t="shared" si="7"/>
        <v>629.5</v>
      </c>
      <c r="AG30" s="66">
        <f t="shared" si="8"/>
        <v>59</v>
      </c>
      <c r="AH30" s="66">
        <f t="shared" si="8"/>
        <v>278.5</v>
      </c>
      <c r="AI30" s="66">
        <f t="shared" si="8"/>
        <v>189</v>
      </c>
      <c r="AJ30" s="66">
        <f t="shared" si="8"/>
        <v>40</v>
      </c>
      <c r="AK30" s="66">
        <f t="shared" si="8"/>
        <v>4</v>
      </c>
      <c r="AL30" s="66">
        <f t="shared" si="8"/>
        <v>0</v>
      </c>
      <c r="AM30" s="66">
        <f t="shared" si="8"/>
        <v>28</v>
      </c>
      <c r="AN30" s="66">
        <f t="shared" si="8"/>
        <v>13.5</v>
      </c>
      <c r="AO30" s="66">
        <f t="shared" si="8"/>
        <v>17.5</v>
      </c>
      <c r="AQ30" s="49">
        <f t="shared" ref="AQ30:AY30" si="16">SUM(O30:O33)</f>
        <v>437</v>
      </c>
      <c r="AR30" s="49">
        <f t="shared" si="16"/>
        <v>2229</v>
      </c>
      <c r="AS30" s="49">
        <f t="shared" si="16"/>
        <v>661</v>
      </c>
      <c r="AT30" s="49">
        <f t="shared" si="16"/>
        <v>164</v>
      </c>
      <c r="AU30" s="49">
        <f t="shared" si="16"/>
        <v>20</v>
      </c>
      <c r="AV30" s="49">
        <f t="shared" si="16"/>
        <v>0</v>
      </c>
      <c r="AW30" s="49">
        <f t="shared" si="16"/>
        <v>26</v>
      </c>
      <c r="AX30" s="49">
        <f t="shared" si="16"/>
        <v>54</v>
      </c>
      <c r="AY30" s="49">
        <f t="shared" si="16"/>
        <v>21</v>
      </c>
    </row>
    <row r="31" spans="1:51">
      <c r="A31" s="1">
        <f t="shared" si="10"/>
        <v>0.72916666666666696</v>
      </c>
      <c r="B31" s="1">
        <f t="shared" si="1"/>
        <v>0.75000000000000033</v>
      </c>
      <c r="C31" s="17"/>
      <c r="D31" s="17"/>
      <c r="E31" s="18"/>
      <c r="F31" s="18"/>
      <c r="G31" s="18"/>
      <c r="H31" s="18"/>
      <c r="I31" s="18"/>
      <c r="J31" s="18"/>
      <c r="K31" s="18"/>
      <c r="L31" s="18"/>
      <c r="O31" s="24">
        <v>122</v>
      </c>
      <c r="P31" s="24">
        <v>649</v>
      </c>
      <c r="Q31" s="24">
        <v>176</v>
      </c>
      <c r="R31" s="25">
        <v>46</v>
      </c>
      <c r="S31" s="25">
        <v>6</v>
      </c>
      <c r="T31" s="25">
        <v>0</v>
      </c>
      <c r="U31" s="25">
        <v>7</v>
      </c>
      <c r="V31" s="25">
        <v>14</v>
      </c>
      <c r="W31" s="25">
        <v>9</v>
      </c>
      <c r="X31" s="25">
        <f t="shared" si="14"/>
        <v>0</v>
      </c>
      <c r="Y31" s="26">
        <f t="shared" si="3"/>
        <v>344</v>
      </c>
      <c r="Z31" s="27">
        <f t="shared" si="4"/>
        <v>662</v>
      </c>
      <c r="AA31" s="27">
        <f t="shared" si="5"/>
        <v>23</v>
      </c>
      <c r="AB31" s="26">
        <f t="shared" si="6"/>
        <v>1029</v>
      </c>
      <c r="AC31" s="28">
        <f t="shared" si="7"/>
        <v>671</v>
      </c>
      <c r="AG31" s="66">
        <f t="shared" si="8"/>
        <v>61</v>
      </c>
      <c r="AH31" s="66">
        <f t="shared" si="8"/>
        <v>324.5</v>
      </c>
      <c r="AI31" s="66">
        <f t="shared" si="8"/>
        <v>176</v>
      </c>
      <c r="AJ31" s="66">
        <f t="shared" si="8"/>
        <v>46</v>
      </c>
      <c r="AK31" s="66">
        <f t="shared" si="8"/>
        <v>6</v>
      </c>
      <c r="AL31" s="66">
        <f t="shared" si="8"/>
        <v>0</v>
      </c>
      <c r="AM31" s="66">
        <f t="shared" si="8"/>
        <v>14</v>
      </c>
      <c r="AN31" s="66">
        <f t="shared" si="8"/>
        <v>21</v>
      </c>
      <c r="AO31" s="66">
        <f t="shared" si="8"/>
        <v>22.5</v>
      </c>
      <c r="AU31" s="48"/>
      <c r="AV31" s="48"/>
      <c r="AW31" s="48"/>
      <c r="AX31" s="48"/>
      <c r="AY31" s="48"/>
    </row>
    <row r="32" spans="1:51">
      <c r="A32" s="1">
        <f t="shared" si="10"/>
        <v>0.75000000000000033</v>
      </c>
      <c r="B32" s="1">
        <f t="shared" si="1"/>
        <v>0.7708333333333337</v>
      </c>
      <c r="C32" s="17"/>
      <c r="D32" s="17"/>
      <c r="E32" s="18"/>
      <c r="F32" s="18"/>
      <c r="G32" s="18"/>
      <c r="H32" s="18"/>
      <c r="I32" s="18"/>
      <c r="J32" s="18"/>
      <c r="K32" s="18"/>
      <c r="L32" s="18"/>
      <c r="O32" s="24">
        <v>102</v>
      </c>
      <c r="P32" s="24">
        <v>531</v>
      </c>
      <c r="Q32" s="24">
        <v>162</v>
      </c>
      <c r="R32" s="25">
        <v>38</v>
      </c>
      <c r="S32" s="25">
        <v>7</v>
      </c>
      <c r="T32" s="25">
        <v>0</v>
      </c>
      <c r="U32" s="25">
        <v>4</v>
      </c>
      <c r="V32" s="25">
        <v>15</v>
      </c>
      <c r="W32" s="25">
        <v>3</v>
      </c>
      <c r="X32" s="25">
        <f t="shared" si="14"/>
        <v>0</v>
      </c>
      <c r="Y32" s="26">
        <f t="shared" si="3"/>
        <v>302</v>
      </c>
      <c r="Z32" s="27">
        <f t="shared" si="4"/>
        <v>542</v>
      </c>
      <c r="AA32" s="27">
        <f t="shared" si="5"/>
        <v>18</v>
      </c>
      <c r="AB32" s="26">
        <f t="shared" si="6"/>
        <v>862</v>
      </c>
      <c r="AC32" s="28">
        <f t="shared" si="7"/>
        <v>561.5</v>
      </c>
      <c r="AG32" s="66">
        <f t="shared" si="8"/>
        <v>51</v>
      </c>
      <c r="AH32" s="66">
        <f t="shared" si="8"/>
        <v>265.5</v>
      </c>
      <c r="AI32" s="66">
        <f t="shared" si="8"/>
        <v>162</v>
      </c>
      <c r="AJ32" s="66">
        <f t="shared" si="8"/>
        <v>38</v>
      </c>
      <c r="AK32" s="66">
        <f t="shared" si="8"/>
        <v>7</v>
      </c>
      <c r="AL32" s="66">
        <f t="shared" si="8"/>
        <v>0</v>
      </c>
      <c r="AM32" s="66">
        <f t="shared" si="8"/>
        <v>8</v>
      </c>
      <c r="AN32" s="66">
        <f t="shared" si="8"/>
        <v>22.5</v>
      </c>
      <c r="AO32" s="66">
        <f t="shared" si="8"/>
        <v>7.5</v>
      </c>
      <c r="AU32" s="48"/>
      <c r="AV32" s="48"/>
      <c r="AW32" s="48"/>
      <c r="AX32" s="48"/>
      <c r="AY32" s="48"/>
    </row>
    <row r="33" spans="1:51">
      <c r="A33" s="2">
        <f t="shared" si="10"/>
        <v>0.7708333333333337</v>
      </c>
      <c r="B33" s="2">
        <f t="shared" si="1"/>
        <v>0.79166666666666707</v>
      </c>
      <c r="C33" s="19"/>
      <c r="D33" s="19"/>
      <c r="E33" s="20"/>
      <c r="F33" s="20"/>
      <c r="G33" s="20"/>
      <c r="H33" s="20"/>
      <c r="I33" s="20"/>
      <c r="J33" s="20"/>
      <c r="K33" s="20"/>
      <c r="L33" s="20"/>
      <c r="O33" s="29">
        <v>95</v>
      </c>
      <c r="P33" s="29">
        <v>492</v>
      </c>
      <c r="Q33" s="29">
        <v>134</v>
      </c>
      <c r="R33" s="30">
        <v>40</v>
      </c>
      <c r="S33" s="30">
        <v>3</v>
      </c>
      <c r="T33" s="30">
        <v>0</v>
      </c>
      <c r="U33" s="30">
        <v>1</v>
      </c>
      <c r="V33" s="30">
        <v>16</v>
      </c>
      <c r="W33" s="30">
        <v>2</v>
      </c>
      <c r="X33" s="30">
        <f t="shared" si="14"/>
        <v>0</v>
      </c>
      <c r="Y33" s="31">
        <f t="shared" si="3"/>
        <v>269</v>
      </c>
      <c r="Z33" s="32">
        <f t="shared" si="4"/>
        <v>496</v>
      </c>
      <c r="AA33" s="32">
        <f t="shared" si="5"/>
        <v>18</v>
      </c>
      <c r="AB33" s="31">
        <f t="shared" si="6"/>
        <v>783</v>
      </c>
      <c r="AC33" s="33">
        <f t="shared" si="7"/>
        <v>501.5</v>
      </c>
      <c r="AG33" s="66">
        <f t="shared" si="8"/>
        <v>47.5</v>
      </c>
      <c r="AH33" s="66">
        <f t="shared" si="8"/>
        <v>246</v>
      </c>
      <c r="AI33" s="66">
        <f t="shared" si="8"/>
        <v>134</v>
      </c>
      <c r="AJ33" s="66">
        <f t="shared" si="8"/>
        <v>40</v>
      </c>
      <c r="AK33" s="66">
        <f t="shared" si="8"/>
        <v>3</v>
      </c>
      <c r="AL33" s="66">
        <f t="shared" si="8"/>
        <v>0</v>
      </c>
      <c r="AM33" s="66">
        <f t="shared" si="8"/>
        <v>2</v>
      </c>
      <c r="AN33" s="66">
        <f t="shared" si="8"/>
        <v>24</v>
      </c>
      <c r="AO33" s="66">
        <f t="shared" si="8"/>
        <v>5</v>
      </c>
      <c r="AU33" s="48"/>
      <c r="AV33" s="48"/>
      <c r="AW33" s="48"/>
      <c r="AX33" s="48"/>
      <c r="AY33" s="48"/>
    </row>
    <row r="34" spans="1:51">
      <c r="A34" s="3">
        <f t="shared" si="10"/>
        <v>0.79166666666666707</v>
      </c>
      <c r="B34" s="3">
        <f t="shared" si="1"/>
        <v>0.81250000000000044</v>
      </c>
      <c r="C34" s="21"/>
      <c r="D34" s="21"/>
      <c r="E34" s="22"/>
      <c r="F34" s="22"/>
      <c r="G34" s="22"/>
      <c r="H34" s="22"/>
      <c r="I34" s="22"/>
      <c r="J34" s="22"/>
      <c r="K34" s="22"/>
      <c r="L34" s="22"/>
      <c r="O34" s="34">
        <v>96</v>
      </c>
      <c r="P34" s="34">
        <v>406</v>
      </c>
      <c r="Q34" s="34">
        <v>123</v>
      </c>
      <c r="R34" s="35">
        <v>53</v>
      </c>
      <c r="S34" s="35">
        <v>2</v>
      </c>
      <c r="T34" s="35">
        <v>1</v>
      </c>
      <c r="U34" s="35">
        <v>7</v>
      </c>
      <c r="V34" s="35">
        <v>7</v>
      </c>
      <c r="W34" s="35">
        <v>2</v>
      </c>
      <c r="X34" s="35">
        <f t="shared" si="14"/>
        <v>0</v>
      </c>
      <c r="Y34" s="36">
        <f t="shared" si="3"/>
        <v>272</v>
      </c>
      <c r="Z34" s="37">
        <f t="shared" si="4"/>
        <v>416</v>
      </c>
      <c r="AA34" s="37">
        <f t="shared" si="5"/>
        <v>9</v>
      </c>
      <c r="AB34" s="36">
        <f t="shared" si="6"/>
        <v>697</v>
      </c>
      <c r="AC34" s="38">
        <f t="shared" si="7"/>
        <v>460</v>
      </c>
      <c r="AG34" s="66">
        <f t="shared" si="8"/>
        <v>48</v>
      </c>
      <c r="AH34" s="66">
        <f t="shared" si="8"/>
        <v>203</v>
      </c>
      <c r="AI34" s="66">
        <f t="shared" si="8"/>
        <v>123</v>
      </c>
      <c r="AJ34" s="66">
        <f t="shared" si="8"/>
        <v>53</v>
      </c>
      <c r="AK34" s="66">
        <f t="shared" si="8"/>
        <v>2</v>
      </c>
      <c r="AL34" s="66">
        <f t="shared" si="8"/>
        <v>1.5</v>
      </c>
      <c r="AM34" s="66">
        <f t="shared" si="8"/>
        <v>14</v>
      </c>
      <c r="AN34" s="66">
        <f t="shared" si="8"/>
        <v>10.5</v>
      </c>
      <c r="AO34" s="66">
        <f t="shared" si="8"/>
        <v>5</v>
      </c>
      <c r="AQ34" s="49">
        <f t="shared" ref="AQ34:AY34" si="17">SUM(O34:O37)</f>
        <v>258</v>
      </c>
      <c r="AR34" s="49">
        <f t="shared" si="17"/>
        <v>1413</v>
      </c>
      <c r="AS34" s="49">
        <f t="shared" si="17"/>
        <v>377</v>
      </c>
      <c r="AT34" s="49">
        <f t="shared" si="17"/>
        <v>94</v>
      </c>
      <c r="AU34" s="49">
        <f t="shared" si="17"/>
        <v>15</v>
      </c>
      <c r="AV34" s="49">
        <f t="shared" si="17"/>
        <v>1</v>
      </c>
      <c r="AW34" s="49">
        <f t="shared" si="17"/>
        <v>19</v>
      </c>
      <c r="AX34" s="49">
        <f t="shared" si="17"/>
        <v>26</v>
      </c>
      <c r="AY34" s="49">
        <f t="shared" si="17"/>
        <v>14</v>
      </c>
    </row>
    <row r="35" spans="1:51">
      <c r="A35" s="1">
        <f t="shared" si="10"/>
        <v>0.81250000000000044</v>
      </c>
      <c r="B35" s="1">
        <f t="shared" si="1"/>
        <v>0.83333333333333381</v>
      </c>
      <c r="C35" s="17"/>
      <c r="D35" s="17"/>
      <c r="E35" s="18"/>
      <c r="F35" s="18"/>
      <c r="G35" s="18"/>
      <c r="H35" s="18"/>
      <c r="I35" s="18"/>
      <c r="J35" s="18"/>
      <c r="K35" s="18"/>
      <c r="L35" s="18"/>
      <c r="O35" s="24">
        <v>69</v>
      </c>
      <c r="P35" s="24">
        <v>353</v>
      </c>
      <c r="Q35" s="24">
        <v>107</v>
      </c>
      <c r="R35" s="25">
        <v>11</v>
      </c>
      <c r="S35" s="25">
        <v>6</v>
      </c>
      <c r="T35" s="25">
        <v>0</v>
      </c>
      <c r="U35" s="25">
        <v>5</v>
      </c>
      <c r="V35" s="25">
        <v>5</v>
      </c>
      <c r="W35" s="25">
        <v>6</v>
      </c>
      <c r="X35" s="25">
        <f t="shared" si="14"/>
        <v>0</v>
      </c>
      <c r="Y35" s="26">
        <f t="shared" si="3"/>
        <v>187</v>
      </c>
      <c r="Z35" s="27">
        <f t="shared" si="4"/>
        <v>364</v>
      </c>
      <c r="AA35" s="27">
        <f t="shared" si="5"/>
        <v>11</v>
      </c>
      <c r="AB35" s="26">
        <f t="shared" si="6"/>
        <v>562</v>
      </c>
      <c r="AC35" s="28">
        <f t="shared" si="7"/>
        <v>367.5</v>
      </c>
      <c r="AG35" s="66">
        <f t="shared" si="8"/>
        <v>34.5</v>
      </c>
      <c r="AH35" s="66">
        <f t="shared" si="8"/>
        <v>176.5</v>
      </c>
      <c r="AI35" s="66">
        <f t="shared" si="8"/>
        <v>107</v>
      </c>
      <c r="AJ35" s="66">
        <f t="shared" si="8"/>
        <v>11</v>
      </c>
      <c r="AK35" s="66">
        <f t="shared" si="8"/>
        <v>6</v>
      </c>
      <c r="AL35" s="66">
        <f t="shared" si="8"/>
        <v>0</v>
      </c>
      <c r="AM35" s="66">
        <f t="shared" si="8"/>
        <v>10</v>
      </c>
      <c r="AN35" s="66">
        <f t="shared" si="8"/>
        <v>7.5</v>
      </c>
      <c r="AO35" s="66">
        <f t="shared" si="8"/>
        <v>15</v>
      </c>
      <c r="AU35" s="48"/>
      <c r="AV35" s="48"/>
      <c r="AW35" s="48"/>
      <c r="AX35" s="48"/>
      <c r="AY35" s="48"/>
    </row>
    <row r="36" spans="1:51">
      <c r="A36" s="1">
        <f t="shared" si="10"/>
        <v>0.83333333333333381</v>
      </c>
      <c r="B36" s="1">
        <f t="shared" si="1"/>
        <v>0.85416666666666718</v>
      </c>
      <c r="C36" s="17"/>
      <c r="D36" s="17"/>
      <c r="E36" s="18"/>
      <c r="F36" s="18"/>
      <c r="G36" s="18"/>
      <c r="H36" s="18"/>
      <c r="I36" s="18"/>
      <c r="J36" s="18"/>
      <c r="K36" s="18"/>
      <c r="L36" s="18"/>
      <c r="O36" s="24">
        <v>55</v>
      </c>
      <c r="P36" s="24">
        <v>346</v>
      </c>
      <c r="Q36" s="24">
        <v>84</v>
      </c>
      <c r="R36" s="25">
        <v>17</v>
      </c>
      <c r="S36" s="25">
        <v>4</v>
      </c>
      <c r="T36" s="25">
        <v>0</v>
      </c>
      <c r="U36" s="25">
        <v>3</v>
      </c>
      <c r="V36" s="25">
        <v>8</v>
      </c>
      <c r="W36" s="25">
        <v>4</v>
      </c>
      <c r="X36" s="25">
        <f t="shared" si="14"/>
        <v>0</v>
      </c>
      <c r="Y36" s="26">
        <f t="shared" si="3"/>
        <v>156</v>
      </c>
      <c r="Z36" s="27">
        <f t="shared" si="4"/>
        <v>353</v>
      </c>
      <c r="AA36" s="27">
        <f t="shared" si="5"/>
        <v>12</v>
      </c>
      <c r="AB36" s="26">
        <f t="shared" si="6"/>
        <v>521</v>
      </c>
      <c r="AC36" s="28">
        <f t="shared" si="7"/>
        <v>333.5</v>
      </c>
      <c r="AG36" s="66">
        <f t="shared" si="8"/>
        <v>27.5</v>
      </c>
      <c r="AH36" s="66">
        <f t="shared" si="8"/>
        <v>173</v>
      </c>
      <c r="AI36" s="66">
        <f t="shared" si="8"/>
        <v>84</v>
      </c>
      <c r="AJ36" s="66">
        <f t="shared" si="8"/>
        <v>17</v>
      </c>
      <c r="AK36" s="66">
        <f t="shared" si="8"/>
        <v>4</v>
      </c>
      <c r="AL36" s="66">
        <f t="shared" si="8"/>
        <v>0</v>
      </c>
      <c r="AM36" s="66">
        <f t="shared" si="8"/>
        <v>6</v>
      </c>
      <c r="AN36" s="66">
        <f t="shared" si="8"/>
        <v>12</v>
      </c>
      <c r="AO36" s="66">
        <f t="shared" si="8"/>
        <v>10</v>
      </c>
      <c r="AU36" s="48"/>
      <c r="AV36" s="48"/>
      <c r="AW36" s="48"/>
      <c r="AX36" s="48"/>
      <c r="AY36" s="48"/>
    </row>
    <row r="37" spans="1:51">
      <c r="A37" s="2">
        <f t="shared" si="10"/>
        <v>0.85416666666666718</v>
      </c>
      <c r="B37" s="2">
        <f t="shared" si="1"/>
        <v>0.87500000000000056</v>
      </c>
      <c r="C37" s="19"/>
      <c r="D37" s="19"/>
      <c r="E37" s="20"/>
      <c r="F37" s="20"/>
      <c r="G37" s="20"/>
      <c r="H37" s="20"/>
      <c r="I37" s="20"/>
      <c r="J37" s="20"/>
      <c r="K37" s="20"/>
      <c r="L37" s="20"/>
      <c r="O37" s="29">
        <v>38</v>
      </c>
      <c r="P37" s="29">
        <v>308</v>
      </c>
      <c r="Q37" s="29">
        <v>63</v>
      </c>
      <c r="R37" s="30">
        <v>13</v>
      </c>
      <c r="S37" s="30">
        <v>3</v>
      </c>
      <c r="T37" s="30">
        <v>0</v>
      </c>
      <c r="U37" s="30">
        <v>4</v>
      </c>
      <c r="V37" s="30">
        <v>6</v>
      </c>
      <c r="W37" s="30">
        <v>2</v>
      </c>
      <c r="X37" s="30">
        <f t="shared" si="14"/>
        <v>0</v>
      </c>
      <c r="Y37" s="31">
        <f t="shared" si="3"/>
        <v>114</v>
      </c>
      <c r="Z37" s="32">
        <f t="shared" si="4"/>
        <v>315</v>
      </c>
      <c r="AA37" s="32">
        <f t="shared" si="5"/>
        <v>8</v>
      </c>
      <c r="AB37" s="31">
        <f t="shared" si="6"/>
        <v>437</v>
      </c>
      <c r="AC37" s="33">
        <f t="shared" si="7"/>
        <v>274</v>
      </c>
      <c r="AG37" s="66">
        <f t="shared" si="8"/>
        <v>19</v>
      </c>
      <c r="AH37" s="66">
        <f t="shared" si="8"/>
        <v>154</v>
      </c>
      <c r="AI37" s="66">
        <f t="shared" si="8"/>
        <v>63</v>
      </c>
      <c r="AJ37" s="66">
        <f t="shared" si="8"/>
        <v>13</v>
      </c>
      <c r="AK37" s="66">
        <f t="shared" si="8"/>
        <v>3</v>
      </c>
      <c r="AL37" s="66">
        <f t="shared" si="8"/>
        <v>0</v>
      </c>
      <c r="AM37" s="66">
        <f t="shared" si="8"/>
        <v>8</v>
      </c>
      <c r="AN37" s="66">
        <f t="shared" si="8"/>
        <v>9</v>
      </c>
      <c r="AO37" s="66">
        <f t="shared" si="8"/>
        <v>5</v>
      </c>
      <c r="AU37" s="48"/>
      <c r="AV37" s="48"/>
      <c r="AW37" s="48"/>
      <c r="AX37" s="48"/>
      <c r="AY37" s="48"/>
    </row>
    <row r="38" spans="1:51">
      <c r="A38" s="3">
        <f t="shared" si="10"/>
        <v>0.87500000000000056</v>
      </c>
      <c r="B38" s="3">
        <f t="shared" si="1"/>
        <v>0.89583333333333393</v>
      </c>
      <c r="C38" s="21"/>
      <c r="D38" s="21"/>
      <c r="E38" s="22"/>
      <c r="F38" s="22"/>
      <c r="G38" s="22"/>
      <c r="H38" s="22"/>
      <c r="I38" s="22"/>
      <c r="J38" s="22"/>
      <c r="K38" s="22"/>
      <c r="L38" s="22"/>
      <c r="O38" s="34">
        <f t="shared" si="14"/>
        <v>0</v>
      </c>
      <c r="P38" s="34">
        <f t="shared" si="14"/>
        <v>0</v>
      </c>
      <c r="Q38" s="34">
        <f t="shared" si="14"/>
        <v>0</v>
      </c>
      <c r="R38" s="35">
        <f t="shared" si="14"/>
        <v>0</v>
      </c>
      <c r="S38" s="35">
        <f t="shared" si="14"/>
        <v>0</v>
      </c>
      <c r="T38" s="35">
        <f t="shared" si="14"/>
        <v>0</v>
      </c>
      <c r="U38" s="35">
        <f t="shared" si="14"/>
        <v>0</v>
      </c>
      <c r="V38" s="35">
        <f t="shared" si="14"/>
        <v>0</v>
      </c>
      <c r="W38" s="35">
        <f t="shared" si="14"/>
        <v>0</v>
      </c>
      <c r="X38" s="35">
        <f t="shared" si="14"/>
        <v>0</v>
      </c>
      <c r="Y38" s="36">
        <f t="shared" si="3"/>
        <v>0</v>
      </c>
      <c r="Z38" s="37">
        <f t="shared" si="4"/>
        <v>0</v>
      </c>
      <c r="AA38" s="37">
        <f t="shared" si="5"/>
        <v>0</v>
      </c>
      <c r="AB38" s="36">
        <f t="shared" si="6"/>
        <v>0</v>
      </c>
      <c r="AC38" s="38">
        <f t="shared" si="7"/>
        <v>0</v>
      </c>
      <c r="AG38" s="66">
        <f t="shared" ref="AG38:AO65" si="18">O38*O$8</f>
        <v>0</v>
      </c>
      <c r="AH38" s="66">
        <f t="shared" si="18"/>
        <v>0</v>
      </c>
      <c r="AI38" s="66">
        <f t="shared" si="18"/>
        <v>0</v>
      </c>
      <c r="AJ38" s="66">
        <f t="shared" si="18"/>
        <v>0</v>
      </c>
      <c r="AK38" s="66">
        <f t="shared" si="18"/>
        <v>0</v>
      </c>
      <c r="AL38" s="66">
        <f t="shared" si="18"/>
        <v>0</v>
      </c>
      <c r="AM38" s="66">
        <f t="shared" si="18"/>
        <v>0</v>
      </c>
      <c r="AN38" s="66">
        <f t="shared" si="18"/>
        <v>0</v>
      </c>
      <c r="AO38" s="66">
        <f t="shared" si="18"/>
        <v>0</v>
      </c>
      <c r="AQ38" s="49">
        <f t="shared" ref="AQ38:AY38" si="19">SUM(O38:O41)</f>
        <v>0</v>
      </c>
      <c r="AR38" s="49">
        <f t="shared" si="19"/>
        <v>0</v>
      </c>
      <c r="AS38" s="49">
        <f t="shared" si="19"/>
        <v>0</v>
      </c>
      <c r="AT38" s="49">
        <f t="shared" si="19"/>
        <v>0</v>
      </c>
      <c r="AU38" s="49">
        <f t="shared" si="19"/>
        <v>0</v>
      </c>
      <c r="AV38" s="49">
        <f t="shared" si="19"/>
        <v>0</v>
      </c>
      <c r="AW38" s="49">
        <f t="shared" si="19"/>
        <v>0</v>
      </c>
      <c r="AX38" s="49">
        <f t="shared" si="19"/>
        <v>0</v>
      </c>
      <c r="AY38" s="49">
        <f t="shared" si="19"/>
        <v>0</v>
      </c>
    </row>
    <row r="39" spans="1:51">
      <c r="A39" s="1">
        <f t="shared" si="10"/>
        <v>0.89583333333333393</v>
      </c>
      <c r="B39" s="1">
        <f t="shared" si="1"/>
        <v>0.9166666666666673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O39" s="24">
        <f t="shared" si="14"/>
        <v>0</v>
      </c>
      <c r="P39" s="24">
        <f t="shared" si="14"/>
        <v>0</v>
      </c>
      <c r="Q39" s="24">
        <f t="shared" si="14"/>
        <v>0</v>
      </c>
      <c r="R39" s="25">
        <f t="shared" si="14"/>
        <v>0</v>
      </c>
      <c r="S39" s="25">
        <f t="shared" si="14"/>
        <v>0</v>
      </c>
      <c r="T39" s="25">
        <f t="shared" si="14"/>
        <v>0</v>
      </c>
      <c r="U39" s="25">
        <f t="shared" si="14"/>
        <v>0</v>
      </c>
      <c r="V39" s="25">
        <f t="shared" si="14"/>
        <v>0</v>
      </c>
      <c r="W39" s="25">
        <f t="shared" si="14"/>
        <v>0</v>
      </c>
      <c r="X39" s="25">
        <f t="shared" si="14"/>
        <v>0</v>
      </c>
      <c r="Y39" s="26">
        <f t="shared" si="3"/>
        <v>0</v>
      </c>
      <c r="Z39" s="27">
        <f t="shared" si="4"/>
        <v>0</v>
      </c>
      <c r="AA39" s="27">
        <f t="shared" si="5"/>
        <v>0</v>
      </c>
      <c r="AB39" s="26">
        <f t="shared" si="6"/>
        <v>0</v>
      </c>
      <c r="AC39" s="28">
        <f t="shared" si="7"/>
        <v>0</v>
      </c>
      <c r="AG39" s="66">
        <f t="shared" si="18"/>
        <v>0</v>
      </c>
      <c r="AH39" s="66">
        <f t="shared" si="18"/>
        <v>0</v>
      </c>
      <c r="AI39" s="66">
        <f t="shared" si="18"/>
        <v>0</v>
      </c>
      <c r="AJ39" s="66">
        <f t="shared" si="18"/>
        <v>0</v>
      </c>
      <c r="AK39" s="66">
        <f t="shared" si="18"/>
        <v>0</v>
      </c>
      <c r="AL39" s="66">
        <f t="shared" si="18"/>
        <v>0</v>
      </c>
      <c r="AM39" s="66">
        <f t="shared" si="18"/>
        <v>0</v>
      </c>
      <c r="AN39" s="66">
        <f t="shared" si="18"/>
        <v>0</v>
      </c>
      <c r="AO39" s="66">
        <f t="shared" si="18"/>
        <v>0</v>
      </c>
      <c r="AU39" s="48"/>
      <c r="AV39" s="48"/>
      <c r="AW39" s="48"/>
      <c r="AX39" s="48"/>
      <c r="AY39" s="48"/>
    </row>
    <row r="40" spans="1:51">
      <c r="A40" s="1">
        <f t="shared" si="10"/>
        <v>0.9166666666666673</v>
      </c>
      <c r="B40" s="1">
        <f t="shared" si="1"/>
        <v>0.93750000000000067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O40" s="24">
        <f t="shared" si="14"/>
        <v>0</v>
      </c>
      <c r="P40" s="24">
        <f t="shared" si="14"/>
        <v>0</v>
      </c>
      <c r="Q40" s="24">
        <f t="shared" si="14"/>
        <v>0</v>
      </c>
      <c r="R40" s="25">
        <f t="shared" si="14"/>
        <v>0</v>
      </c>
      <c r="S40" s="25">
        <f t="shared" si="14"/>
        <v>0</v>
      </c>
      <c r="T40" s="25">
        <f t="shared" si="14"/>
        <v>0</v>
      </c>
      <c r="U40" s="25">
        <f t="shared" si="14"/>
        <v>0</v>
      </c>
      <c r="V40" s="25">
        <f t="shared" si="14"/>
        <v>0</v>
      </c>
      <c r="W40" s="25">
        <f t="shared" si="14"/>
        <v>0</v>
      </c>
      <c r="X40" s="25">
        <f t="shared" si="14"/>
        <v>0</v>
      </c>
      <c r="Y40" s="26">
        <f t="shared" si="3"/>
        <v>0</v>
      </c>
      <c r="Z40" s="27">
        <f t="shared" si="4"/>
        <v>0</v>
      </c>
      <c r="AA40" s="27">
        <f t="shared" si="5"/>
        <v>0</v>
      </c>
      <c r="AB40" s="26">
        <f t="shared" si="6"/>
        <v>0</v>
      </c>
      <c r="AC40" s="28">
        <f t="shared" si="7"/>
        <v>0</v>
      </c>
      <c r="AG40" s="66">
        <f t="shared" si="18"/>
        <v>0</v>
      </c>
      <c r="AH40" s="66">
        <f t="shared" si="18"/>
        <v>0</v>
      </c>
      <c r="AI40" s="66">
        <f t="shared" si="18"/>
        <v>0</v>
      </c>
      <c r="AJ40" s="66">
        <f t="shared" si="18"/>
        <v>0</v>
      </c>
      <c r="AK40" s="66">
        <f t="shared" si="18"/>
        <v>0</v>
      </c>
      <c r="AL40" s="66">
        <f t="shared" si="18"/>
        <v>0</v>
      </c>
      <c r="AM40" s="66">
        <f t="shared" si="18"/>
        <v>0</v>
      </c>
      <c r="AN40" s="66">
        <f t="shared" si="18"/>
        <v>0</v>
      </c>
      <c r="AO40" s="66">
        <f t="shared" si="18"/>
        <v>0</v>
      </c>
      <c r="AU40" s="48"/>
      <c r="AV40" s="48"/>
      <c r="AW40" s="48"/>
      <c r="AX40" s="48"/>
      <c r="AY40" s="48"/>
    </row>
    <row r="41" spans="1:51" ht="15.75" thickBot="1">
      <c r="A41" s="4">
        <f t="shared" si="10"/>
        <v>0.93750000000000067</v>
      </c>
      <c r="B41" s="4">
        <f t="shared" si="1"/>
        <v>0.95833333333333404</v>
      </c>
      <c r="C41" s="19"/>
      <c r="D41" s="19"/>
      <c r="E41" s="20"/>
      <c r="F41" s="20"/>
      <c r="G41" s="20"/>
      <c r="H41" s="20"/>
      <c r="I41" s="20"/>
      <c r="J41" s="20"/>
      <c r="K41" s="20"/>
      <c r="L41" s="20"/>
      <c r="O41" s="39">
        <f t="shared" si="14"/>
        <v>0</v>
      </c>
      <c r="P41" s="39">
        <f t="shared" si="14"/>
        <v>0</v>
      </c>
      <c r="Q41" s="39">
        <f t="shared" si="14"/>
        <v>0</v>
      </c>
      <c r="R41" s="40">
        <f t="shared" si="14"/>
        <v>0</v>
      </c>
      <c r="S41" s="40">
        <f t="shared" si="14"/>
        <v>0</v>
      </c>
      <c r="T41" s="40">
        <f t="shared" si="14"/>
        <v>0</v>
      </c>
      <c r="U41" s="40">
        <f t="shared" si="14"/>
        <v>0</v>
      </c>
      <c r="V41" s="40">
        <f t="shared" si="14"/>
        <v>0</v>
      </c>
      <c r="W41" s="40">
        <f t="shared" si="14"/>
        <v>0</v>
      </c>
      <c r="X41" s="40">
        <f t="shared" si="14"/>
        <v>0</v>
      </c>
      <c r="Y41" s="41">
        <f t="shared" si="3"/>
        <v>0</v>
      </c>
      <c r="Z41" s="42">
        <f t="shared" si="4"/>
        <v>0</v>
      </c>
      <c r="AA41" s="42">
        <f t="shared" si="5"/>
        <v>0</v>
      </c>
      <c r="AB41" s="41">
        <f t="shared" si="6"/>
        <v>0</v>
      </c>
      <c r="AC41" s="43">
        <f t="shared" si="7"/>
        <v>0</v>
      </c>
      <c r="AG41" s="66">
        <f t="shared" si="18"/>
        <v>0</v>
      </c>
      <c r="AH41" s="66">
        <f t="shared" si="18"/>
        <v>0</v>
      </c>
      <c r="AI41" s="66">
        <f t="shared" si="18"/>
        <v>0</v>
      </c>
      <c r="AJ41" s="66">
        <f t="shared" si="18"/>
        <v>0</v>
      </c>
      <c r="AK41" s="66">
        <f t="shared" si="18"/>
        <v>0</v>
      </c>
      <c r="AL41" s="66">
        <f t="shared" si="18"/>
        <v>0</v>
      </c>
      <c r="AM41" s="66">
        <f t="shared" si="18"/>
        <v>0</v>
      </c>
      <c r="AN41" s="66">
        <f t="shared" si="18"/>
        <v>0</v>
      </c>
      <c r="AO41" s="66">
        <f t="shared" si="18"/>
        <v>0</v>
      </c>
      <c r="AU41" s="48"/>
      <c r="AV41" s="48"/>
      <c r="AW41" s="48"/>
      <c r="AX41" s="48"/>
      <c r="AY41" s="48"/>
    </row>
    <row r="42" spans="1:51">
      <c r="A42" s="3">
        <f t="shared" si="10"/>
        <v>0.95833333333333404</v>
      </c>
      <c r="B42" s="3">
        <f t="shared" si="1"/>
        <v>0.97916666666666741</v>
      </c>
      <c r="C42" s="21"/>
      <c r="D42" s="21"/>
      <c r="E42" s="22"/>
      <c r="F42" s="22"/>
      <c r="G42" s="22"/>
      <c r="H42" s="22"/>
      <c r="I42" s="22"/>
      <c r="J42" s="22"/>
      <c r="K42" s="22"/>
      <c r="L42" s="22"/>
      <c r="O42" s="34">
        <f t="shared" si="14"/>
        <v>0</v>
      </c>
      <c r="P42" s="34">
        <f t="shared" si="14"/>
        <v>0</v>
      </c>
      <c r="Q42" s="34">
        <f t="shared" si="14"/>
        <v>0</v>
      </c>
      <c r="R42" s="35">
        <f t="shared" si="14"/>
        <v>0</v>
      </c>
      <c r="S42" s="35">
        <f t="shared" si="14"/>
        <v>0</v>
      </c>
      <c r="T42" s="35">
        <f t="shared" si="14"/>
        <v>0</v>
      </c>
      <c r="U42" s="35">
        <f t="shared" si="14"/>
        <v>0</v>
      </c>
      <c r="V42" s="35">
        <f t="shared" si="14"/>
        <v>0</v>
      </c>
      <c r="W42" s="35">
        <f t="shared" si="14"/>
        <v>0</v>
      </c>
      <c r="X42" s="35">
        <f t="shared" si="14"/>
        <v>0</v>
      </c>
      <c r="Y42" s="36">
        <f t="shared" si="3"/>
        <v>0</v>
      </c>
      <c r="Z42" s="37">
        <f t="shared" si="4"/>
        <v>0</v>
      </c>
      <c r="AA42" s="37">
        <f t="shared" si="5"/>
        <v>0</v>
      </c>
      <c r="AB42" s="36">
        <f t="shared" si="6"/>
        <v>0</v>
      </c>
      <c r="AC42" s="38">
        <f t="shared" si="7"/>
        <v>0</v>
      </c>
      <c r="AG42" s="66">
        <f t="shared" si="18"/>
        <v>0</v>
      </c>
      <c r="AH42" s="66">
        <f t="shared" si="18"/>
        <v>0</v>
      </c>
      <c r="AI42" s="66">
        <f t="shared" si="18"/>
        <v>0</v>
      </c>
      <c r="AJ42" s="66">
        <f t="shared" si="18"/>
        <v>0</v>
      </c>
      <c r="AK42" s="66">
        <f t="shared" si="18"/>
        <v>0</v>
      </c>
      <c r="AL42" s="66">
        <f t="shared" si="18"/>
        <v>0</v>
      </c>
      <c r="AM42" s="66">
        <f t="shared" si="18"/>
        <v>0</v>
      </c>
      <c r="AN42" s="66">
        <f t="shared" si="18"/>
        <v>0</v>
      </c>
      <c r="AO42" s="66">
        <f t="shared" si="18"/>
        <v>0</v>
      </c>
      <c r="AQ42" s="49">
        <f t="shared" ref="AQ42:AY42" si="20">SUM(O42:O45)</f>
        <v>0</v>
      </c>
      <c r="AR42" s="49">
        <f t="shared" si="20"/>
        <v>0</v>
      </c>
      <c r="AS42" s="49">
        <f t="shared" si="20"/>
        <v>0</v>
      </c>
      <c r="AT42" s="49">
        <f t="shared" si="20"/>
        <v>0</v>
      </c>
      <c r="AU42" s="49">
        <f t="shared" si="20"/>
        <v>0</v>
      </c>
      <c r="AV42" s="49">
        <f t="shared" si="20"/>
        <v>0</v>
      </c>
      <c r="AW42" s="49">
        <f t="shared" si="20"/>
        <v>0</v>
      </c>
      <c r="AX42" s="49">
        <f t="shared" si="20"/>
        <v>0</v>
      </c>
      <c r="AY42" s="49">
        <f t="shared" si="20"/>
        <v>0</v>
      </c>
    </row>
    <row r="43" spans="1:51">
      <c r="A43" s="1">
        <f t="shared" si="10"/>
        <v>0.97916666666666741</v>
      </c>
      <c r="B43" s="1">
        <f t="shared" si="1"/>
        <v>1.0000000000000007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O43" s="24">
        <f t="shared" si="14"/>
        <v>0</v>
      </c>
      <c r="P43" s="24">
        <f t="shared" si="14"/>
        <v>0</v>
      </c>
      <c r="Q43" s="24">
        <f t="shared" si="14"/>
        <v>0</v>
      </c>
      <c r="R43" s="25">
        <f t="shared" si="14"/>
        <v>0</v>
      </c>
      <c r="S43" s="25">
        <f t="shared" si="14"/>
        <v>0</v>
      </c>
      <c r="T43" s="25">
        <f t="shared" si="14"/>
        <v>0</v>
      </c>
      <c r="U43" s="25">
        <f t="shared" si="14"/>
        <v>0</v>
      </c>
      <c r="V43" s="25">
        <f t="shared" si="14"/>
        <v>0</v>
      </c>
      <c r="W43" s="25">
        <f t="shared" si="14"/>
        <v>0</v>
      </c>
      <c r="X43" s="25">
        <f t="shared" si="14"/>
        <v>0</v>
      </c>
      <c r="Y43" s="26">
        <f t="shared" si="3"/>
        <v>0</v>
      </c>
      <c r="Z43" s="27">
        <f t="shared" si="4"/>
        <v>0</v>
      </c>
      <c r="AA43" s="27">
        <f t="shared" si="5"/>
        <v>0</v>
      </c>
      <c r="AB43" s="26">
        <f t="shared" si="6"/>
        <v>0</v>
      </c>
      <c r="AC43" s="28">
        <f t="shared" si="7"/>
        <v>0</v>
      </c>
      <c r="AG43" s="66">
        <f t="shared" si="18"/>
        <v>0</v>
      </c>
      <c r="AH43" s="66">
        <f t="shared" si="18"/>
        <v>0</v>
      </c>
      <c r="AI43" s="66">
        <f t="shared" si="18"/>
        <v>0</v>
      </c>
      <c r="AJ43" s="66">
        <f t="shared" si="18"/>
        <v>0</v>
      </c>
      <c r="AK43" s="66">
        <f t="shared" si="18"/>
        <v>0</v>
      </c>
      <c r="AL43" s="66">
        <f t="shared" si="18"/>
        <v>0</v>
      </c>
      <c r="AM43" s="66">
        <f t="shared" si="18"/>
        <v>0</v>
      </c>
      <c r="AN43" s="66">
        <f t="shared" si="18"/>
        <v>0</v>
      </c>
      <c r="AO43" s="66">
        <f t="shared" si="18"/>
        <v>0</v>
      </c>
      <c r="AU43" s="48"/>
      <c r="AV43" s="48"/>
      <c r="AW43" s="48"/>
      <c r="AX43" s="48"/>
      <c r="AY43" s="48"/>
    </row>
    <row r="44" spans="1:51">
      <c r="A44" s="1">
        <f t="shared" si="10"/>
        <v>1.0000000000000007</v>
      </c>
      <c r="B44" s="1">
        <f t="shared" si="1"/>
        <v>1.0208333333333339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O44" s="24">
        <f t="shared" si="14"/>
        <v>0</v>
      </c>
      <c r="P44" s="24">
        <f t="shared" si="14"/>
        <v>0</v>
      </c>
      <c r="Q44" s="24">
        <f t="shared" si="14"/>
        <v>0</v>
      </c>
      <c r="R44" s="25">
        <f t="shared" si="14"/>
        <v>0</v>
      </c>
      <c r="S44" s="25">
        <f t="shared" si="14"/>
        <v>0</v>
      </c>
      <c r="T44" s="25">
        <f t="shared" si="14"/>
        <v>0</v>
      </c>
      <c r="U44" s="25">
        <f t="shared" si="14"/>
        <v>0</v>
      </c>
      <c r="V44" s="25">
        <f t="shared" si="14"/>
        <v>0</v>
      </c>
      <c r="W44" s="25">
        <f t="shared" si="14"/>
        <v>0</v>
      </c>
      <c r="X44" s="25">
        <f t="shared" si="14"/>
        <v>0</v>
      </c>
      <c r="Y44" s="26">
        <f t="shared" si="3"/>
        <v>0</v>
      </c>
      <c r="Z44" s="27">
        <f t="shared" si="4"/>
        <v>0</v>
      </c>
      <c r="AA44" s="27">
        <f t="shared" si="5"/>
        <v>0</v>
      </c>
      <c r="AB44" s="26">
        <f t="shared" si="6"/>
        <v>0</v>
      </c>
      <c r="AC44" s="28">
        <f t="shared" si="7"/>
        <v>0</v>
      </c>
      <c r="AG44" s="66">
        <f t="shared" si="18"/>
        <v>0</v>
      </c>
      <c r="AH44" s="66">
        <f t="shared" si="18"/>
        <v>0</v>
      </c>
      <c r="AI44" s="66">
        <f t="shared" si="18"/>
        <v>0</v>
      </c>
      <c r="AJ44" s="66">
        <f t="shared" si="18"/>
        <v>0</v>
      </c>
      <c r="AK44" s="66">
        <f t="shared" si="18"/>
        <v>0</v>
      </c>
      <c r="AL44" s="66">
        <f t="shared" si="18"/>
        <v>0</v>
      </c>
      <c r="AM44" s="66">
        <f t="shared" si="18"/>
        <v>0</v>
      </c>
      <c r="AN44" s="66">
        <f t="shared" si="18"/>
        <v>0</v>
      </c>
      <c r="AO44" s="66">
        <f t="shared" si="18"/>
        <v>0</v>
      </c>
      <c r="AU44" s="48"/>
      <c r="AV44" s="48"/>
      <c r="AW44" s="48"/>
      <c r="AX44" s="48"/>
      <c r="AY44" s="48"/>
    </row>
    <row r="45" spans="1:51">
      <c r="A45" s="2">
        <f t="shared" si="10"/>
        <v>1.0208333333333339</v>
      </c>
      <c r="B45" s="2">
        <f t="shared" si="1"/>
        <v>1.0416666666666672</v>
      </c>
      <c r="C45" s="19"/>
      <c r="D45" s="19"/>
      <c r="E45" s="20"/>
      <c r="F45" s="20"/>
      <c r="G45" s="20"/>
      <c r="H45" s="20"/>
      <c r="I45" s="20"/>
      <c r="J45" s="20"/>
      <c r="K45" s="20"/>
      <c r="L45" s="20"/>
      <c r="O45" s="29">
        <f t="shared" si="14"/>
        <v>0</v>
      </c>
      <c r="P45" s="29">
        <f t="shared" si="14"/>
        <v>0</v>
      </c>
      <c r="Q45" s="29">
        <f t="shared" si="14"/>
        <v>0</v>
      </c>
      <c r="R45" s="30">
        <f t="shared" si="14"/>
        <v>0</v>
      </c>
      <c r="S45" s="30">
        <f t="shared" si="14"/>
        <v>0</v>
      </c>
      <c r="T45" s="30">
        <f t="shared" si="14"/>
        <v>0</v>
      </c>
      <c r="U45" s="30">
        <f t="shared" si="14"/>
        <v>0</v>
      </c>
      <c r="V45" s="30">
        <f t="shared" si="14"/>
        <v>0</v>
      </c>
      <c r="W45" s="30">
        <f t="shared" si="14"/>
        <v>0</v>
      </c>
      <c r="X45" s="30">
        <f t="shared" si="14"/>
        <v>0</v>
      </c>
      <c r="Y45" s="31">
        <f t="shared" si="3"/>
        <v>0</v>
      </c>
      <c r="Z45" s="32">
        <f t="shared" si="4"/>
        <v>0</v>
      </c>
      <c r="AA45" s="32">
        <f t="shared" si="5"/>
        <v>0</v>
      </c>
      <c r="AB45" s="31">
        <f t="shared" si="6"/>
        <v>0</v>
      </c>
      <c r="AC45" s="33">
        <f t="shared" si="7"/>
        <v>0</v>
      </c>
      <c r="AG45" s="66">
        <f t="shared" si="18"/>
        <v>0</v>
      </c>
      <c r="AH45" s="66">
        <f t="shared" si="18"/>
        <v>0</v>
      </c>
      <c r="AI45" s="66">
        <f t="shared" si="18"/>
        <v>0</v>
      </c>
      <c r="AJ45" s="66">
        <f t="shared" si="18"/>
        <v>0</v>
      </c>
      <c r="AK45" s="66">
        <f t="shared" si="18"/>
        <v>0</v>
      </c>
      <c r="AL45" s="66">
        <f t="shared" si="18"/>
        <v>0</v>
      </c>
      <c r="AM45" s="66">
        <f t="shared" si="18"/>
        <v>0</v>
      </c>
      <c r="AN45" s="66">
        <f t="shared" si="18"/>
        <v>0</v>
      </c>
      <c r="AO45" s="66">
        <f t="shared" si="18"/>
        <v>0</v>
      </c>
      <c r="AU45" s="48"/>
      <c r="AV45" s="48"/>
      <c r="AW45" s="48"/>
      <c r="AX45" s="48"/>
      <c r="AY45" s="48"/>
    </row>
    <row r="46" spans="1:51">
      <c r="A46" s="3">
        <f t="shared" si="10"/>
        <v>1.0416666666666672</v>
      </c>
      <c r="B46" s="3">
        <f t="shared" si="1"/>
        <v>1.0625000000000004</v>
      </c>
      <c r="C46" s="21"/>
      <c r="D46" s="21"/>
      <c r="E46" s="22"/>
      <c r="F46" s="22"/>
      <c r="G46" s="22"/>
      <c r="H46" s="22"/>
      <c r="I46" s="22"/>
      <c r="J46" s="22"/>
      <c r="K46" s="22"/>
      <c r="L46" s="22"/>
      <c r="O46" s="34">
        <f t="shared" si="14"/>
        <v>0</v>
      </c>
      <c r="P46" s="34">
        <f t="shared" si="14"/>
        <v>0</v>
      </c>
      <c r="Q46" s="34">
        <f t="shared" si="14"/>
        <v>0</v>
      </c>
      <c r="R46" s="35">
        <f t="shared" si="14"/>
        <v>0</v>
      </c>
      <c r="S46" s="35">
        <f t="shared" si="14"/>
        <v>0</v>
      </c>
      <c r="T46" s="35">
        <f t="shared" si="14"/>
        <v>0</v>
      </c>
      <c r="U46" s="35">
        <f t="shared" si="14"/>
        <v>0</v>
      </c>
      <c r="V46" s="35">
        <f t="shared" si="14"/>
        <v>0</v>
      </c>
      <c r="W46" s="35">
        <f t="shared" si="14"/>
        <v>0</v>
      </c>
      <c r="X46" s="35">
        <f t="shared" si="14"/>
        <v>0</v>
      </c>
      <c r="Y46" s="36">
        <f t="shared" si="3"/>
        <v>0</v>
      </c>
      <c r="Z46" s="37">
        <f t="shared" si="4"/>
        <v>0</v>
      </c>
      <c r="AA46" s="37">
        <f t="shared" si="5"/>
        <v>0</v>
      </c>
      <c r="AB46" s="36">
        <f t="shared" si="6"/>
        <v>0</v>
      </c>
      <c r="AC46" s="38">
        <f t="shared" si="7"/>
        <v>0</v>
      </c>
      <c r="AG46" s="66">
        <f t="shared" si="18"/>
        <v>0</v>
      </c>
      <c r="AH46" s="66">
        <f t="shared" si="18"/>
        <v>0</v>
      </c>
      <c r="AI46" s="66">
        <f t="shared" si="18"/>
        <v>0</v>
      </c>
      <c r="AJ46" s="66">
        <f t="shared" si="18"/>
        <v>0</v>
      </c>
      <c r="AK46" s="66">
        <f t="shared" si="18"/>
        <v>0</v>
      </c>
      <c r="AL46" s="66">
        <f t="shared" si="18"/>
        <v>0</v>
      </c>
      <c r="AM46" s="66">
        <f t="shared" si="18"/>
        <v>0</v>
      </c>
      <c r="AN46" s="66">
        <f t="shared" si="18"/>
        <v>0</v>
      </c>
      <c r="AO46" s="66">
        <f t="shared" si="18"/>
        <v>0</v>
      </c>
      <c r="AQ46" s="49">
        <f t="shared" ref="AQ46:AY46" si="21">SUM(O46:O49)</f>
        <v>0</v>
      </c>
      <c r="AR46" s="49">
        <f t="shared" si="21"/>
        <v>0</v>
      </c>
      <c r="AS46" s="49">
        <f t="shared" si="21"/>
        <v>0</v>
      </c>
      <c r="AT46" s="49">
        <f t="shared" si="21"/>
        <v>0</v>
      </c>
      <c r="AU46" s="49">
        <f t="shared" si="21"/>
        <v>0</v>
      </c>
      <c r="AV46" s="49">
        <f t="shared" si="21"/>
        <v>0</v>
      </c>
      <c r="AW46" s="49">
        <f t="shared" si="21"/>
        <v>0</v>
      </c>
      <c r="AX46" s="49">
        <f t="shared" si="21"/>
        <v>0</v>
      </c>
      <c r="AY46" s="49">
        <f t="shared" si="21"/>
        <v>0</v>
      </c>
    </row>
    <row r="47" spans="1:51">
      <c r="A47" s="1">
        <f t="shared" si="10"/>
        <v>1.0625000000000004</v>
      </c>
      <c r="B47" s="1">
        <f t="shared" si="1"/>
        <v>1.0833333333333337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O47" s="24">
        <f t="shared" si="14"/>
        <v>0</v>
      </c>
      <c r="P47" s="24">
        <f t="shared" si="14"/>
        <v>0</v>
      </c>
      <c r="Q47" s="24">
        <f t="shared" si="14"/>
        <v>0</v>
      </c>
      <c r="R47" s="25">
        <f t="shared" si="14"/>
        <v>0</v>
      </c>
      <c r="S47" s="25">
        <f t="shared" si="14"/>
        <v>0</v>
      </c>
      <c r="T47" s="25">
        <f t="shared" si="14"/>
        <v>0</v>
      </c>
      <c r="U47" s="25">
        <f t="shared" si="14"/>
        <v>0</v>
      </c>
      <c r="V47" s="25">
        <f t="shared" si="14"/>
        <v>0</v>
      </c>
      <c r="W47" s="25">
        <f t="shared" si="14"/>
        <v>0</v>
      </c>
      <c r="X47" s="25">
        <f t="shared" si="14"/>
        <v>0</v>
      </c>
      <c r="Y47" s="26">
        <f t="shared" si="3"/>
        <v>0</v>
      </c>
      <c r="Z47" s="27">
        <f t="shared" si="4"/>
        <v>0</v>
      </c>
      <c r="AA47" s="27">
        <f t="shared" si="5"/>
        <v>0</v>
      </c>
      <c r="AB47" s="26">
        <f t="shared" si="6"/>
        <v>0</v>
      </c>
      <c r="AC47" s="28">
        <f t="shared" si="7"/>
        <v>0</v>
      </c>
      <c r="AG47" s="66">
        <f t="shared" si="18"/>
        <v>0</v>
      </c>
      <c r="AH47" s="66">
        <f t="shared" si="18"/>
        <v>0</v>
      </c>
      <c r="AI47" s="66">
        <f t="shared" si="18"/>
        <v>0</v>
      </c>
      <c r="AJ47" s="66">
        <f t="shared" si="18"/>
        <v>0</v>
      </c>
      <c r="AK47" s="66">
        <f t="shared" si="18"/>
        <v>0</v>
      </c>
      <c r="AL47" s="66">
        <f t="shared" si="18"/>
        <v>0</v>
      </c>
      <c r="AM47" s="66">
        <f t="shared" si="18"/>
        <v>0</v>
      </c>
      <c r="AN47" s="66">
        <f t="shared" si="18"/>
        <v>0</v>
      </c>
      <c r="AO47" s="66">
        <f t="shared" si="18"/>
        <v>0</v>
      </c>
      <c r="AU47" s="48"/>
      <c r="AV47" s="48"/>
      <c r="AW47" s="48"/>
      <c r="AX47" s="48"/>
      <c r="AY47" s="48"/>
    </row>
    <row r="48" spans="1:51">
      <c r="A48" s="1">
        <f t="shared" si="10"/>
        <v>1.0833333333333337</v>
      </c>
      <c r="B48" s="1">
        <f t="shared" si="1"/>
        <v>1.104166666666667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O48" s="24">
        <f t="shared" ref="O48:X65" si="22">C48-C47</f>
        <v>0</v>
      </c>
      <c r="P48" s="24">
        <f t="shared" si="22"/>
        <v>0</v>
      </c>
      <c r="Q48" s="24">
        <f t="shared" si="22"/>
        <v>0</v>
      </c>
      <c r="R48" s="25">
        <f t="shared" si="22"/>
        <v>0</v>
      </c>
      <c r="S48" s="25">
        <f t="shared" si="22"/>
        <v>0</v>
      </c>
      <c r="T48" s="25">
        <f t="shared" si="22"/>
        <v>0</v>
      </c>
      <c r="U48" s="25">
        <f t="shared" si="22"/>
        <v>0</v>
      </c>
      <c r="V48" s="25">
        <f t="shared" si="22"/>
        <v>0</v>
      </c>
      <c r="W48" s="25">
        <f t="shared" si="22"/>
        <v>0</v>
      </c>
      <c r="X48" s="25">
        <f t="shared" si="22"/>
        <v>0</v>
      </c>
      <c r="Y48" s="26">
        <f t="shared" si="3"/>
        <v>0</v>
      </c>
      <c r="Z48" s="27">
        <f t="shared" si="4"/>
        <v>0</v>
      </c>
      <c r="AA48" s="27">
        <f t="shared" si="5"/>
        <v>0</v>
      </c>
      <c r="AB48" s="26">
        <f t="shared" si="6"/>
        <v>0</v>
      </c>
      <c r="AC48" s="28">
        <f t="shared" si="7"/>
        <v>0</v>
      </c>
      <c r="AG48" s="66">
        <f t="shared" si="18"/>
        <v>0</v>
      </c>
      <c r="AH48" s="66">
        <f t="shared" si="18"/>
        <v>0</v>
      </c>
      <c r="AI48" s="66">
        <f t="shared" si="18"/>
        <v>0</v>
      </c>
      <c r="AJ48" s="66">
        <f t="shared" si="18"/>
        <v>0</v>
      </c>
      <c r="AK48" s="66">
        <f t="shared" si="18"/>
        <v>0</v>
      </c>
      <c r="AL48" s="66">
        <f t="shared" si="18"/>
        <v>0</v>
      </c>
      <c r="AM48" s="66">
        <f t="shared" si="18"/>
        <v>0</v>
      </c>
      <c r="AN48" s="66">
        <f t="shared" si="18"/>
        <v>0</v>
      </c>
      <c r="AO48" s="66">
        <f t="shared" si="18"/>
        <v>0</v>
      </c>
      <c r="AU48" s="48"/>
      <c r="AV48" s="48"/>
      <c r="AW48" s="48"/>
      <c r="AX48" s="48"/>
      <c r="AY48" s="48"/>
    </row>
    <row r="49" spans="1:51">
      <c r="A49" s="2">
        <f t="shared" si="10"/>
        <v>1.104166666666667</v>
      </c>
      <c r="B49" s="2">
        <f t="shared" si="1"/>
        <v>1.1250000000000002</v>
      </c>
      <c r="C49" s="19"/>
      <c r="D49" s="19"/>
      <c r="E49" s="20"/>
      <c r="F49" s="20"/>
      <c r="G49" s="20"/>
      <c r="H49" s="20"/>
      <c r="I49" s="20"/>
      <c r="J49" s="20"/>
      <c r="K49" s="20"/>
      <c r="L49" s="20"/>
      <c r="O49" s="29">
        <f t="shared" si="22"/>
        <v>0</v>
      </c>
      <c r="P49" s="29">
        <f t="shared" si="22"/>
        <v>0</v>
      </c>
      <c r="Q49" s="29">
        <f t="shared" si="22"/>
        <v>0</v>
      </c>
      <c r="R49" s="30">
        <f t="shared" si="22"/>
        <v>0</v>
      </c>
      <c r="S49" s="30">
        <f t="shared" si="22"/>
        <v>0</v>
      </c>
      <c r="T49" s="30">
        <f t="shared" si="22"/>
        <v>0</v>
      </c>
      <c r="U49" s="30">
        <f t="shared" si="22"/>
        <v>0</v>
      </c>
      <c r="V49" s="30">
        <f t="shared" si="22"/>
        <v>0</v>
      </c>
      <c r="W49" s="30">
        <f t="shared" si="22"/>
        <v>0</v>
      </c>
      <c r="X49" s="30">
        <f t="shared" si="22"/>
        <v>0</v>
      </c>
      <c r="Y49" s="31">
        <f t="shared" si="3"/>
        <v>0</v>
      </c>
      <c r="Z49" s="32">
        <f t="shared" si="4"/>
        <v>0</v>
      </c>
      <c r="AA49" s="32">
        <f t="shared" si="5"/>
        <v>0</v>
      </c>
      <c r="AB49" s="31">
        <f t="shared" si="6"/>
        <v>0</v>
      </c>
      <c r="AC49" s="33">
        <f t="shared" si="7"/>
        <v>0</v>
      </c>
      <c r="AG49" s="66">
        <f t="shared" si="18"/>
        <v>0</v>
      </c>
      <c r="AH49" s="66">
        <f t="shared" si="18"/>
        <v>0</v>
      </c>
      <c r="AI49" s="66">
        <f t="shared" si="18"/>
        <v>0</v>
      </c>
      <c r="AJ49" s="66">
        <f t="shared" si="18"/>
        <v>0</v>
      </c>
      <c r="AK49" s="66">
        <f t="shared" si="18"/>
        <v>0</v>
      </c>
      <c r="AL49" s="66">
        <f t="shared" si="18"/>
        <v>0</v>
      </c>
      <c r="AM49" s="66">
        <f t="shared" si="18"/>
        <v>0</v>
      </c>
      <c r="AN49" s="66">
        <f t="shared" si="18"/>
        <v>0</v>
      </c>
      <c r="AO49" s="66">
        <f t="shared" si="18"/>
        <v>0</v>
      </c>
      <c r="AU49" s="48"/>
      <c r="AV49" s="48"/>
      <c r="AW49" s="48"/>
      <c r="AX49" s="48"/>
      <c r="AY49" s="48"/>
    </row>
    <row r="50" spans="1:51">
      <c r="A50" s="3">
        <f t="shared" si="10"/>
        <v>1.1250000000000002</v>
      </c>
      <c r="B50" s="3">
        <f t="shared" si="1"/>
        <v>1.1458333333333335</v>
      </c>
      <c r="C50" s="21"/>
      <c r="D50" s="21"/>
      <c r="E50" s="22"/>
      <c r="F50" s="22"/>
      <c r="G50" s="22"/>
      <c r="H50" s="22"/>
      <c r="I50" s="22"/>
      <c r="J50" s="22"/>
      <c r="K50" s="22"/>
      <c r="L50" s="22"/>
      <c r="O50" s="34">
        <f t="shared" si="22"/>
        <v>0</v>
      </c>
      <c r="P50" s="34">
        <f t="shared" si="22"/>
        <v>0</v>
      </c>
      <c r="Q50" s="34">
        <f t="shared" si="22"/>
        <v>0</v>
      </c>
      <c r="R50" s="35">
        <f t="shared" si="22"/>
        <v>0</v>
      </c>
      <c r="S50" s="35">
        <f t="shared" si="22"/>
        <v>0</v>
      </c>
      <c r="T50" s="35">
        <f t="shared" si="22"/>
        <v>0</v>
      </c>
      <c r="U50" s="35">
        <f t="shared" si="22"/>
        <v>0</v>
      </c>
      <c r="V50" s="35">
        <f t="shared" si="22"/>
        <v>0</v>
      </c>
      <c r="W50" s="35">
        <f t="shared" si="22"/>
        <v>0</v>
      </c>
      <c r="X50" s="35">
        <f t="shared" si="22"/>
        <v>0</v>
      </c>
      <c r="Y50" s="36">
        <f t="shared" si="3"/>
        <v>0</v>
      </c>
      <c r="Z50" s="37">
        <f t="shared" si="4"/>
        <v>0</v>
      </c>
      <c r="AA50" s="37">
        <f t="shared" si="5"/>
        <v>0</v>
      </c>
      <c r="AB50" s="36">
        <f t="shared" si="6"/>
        <v>0</v>
      </c>
      <c r="AC50" s="38">
        <f t="shared" si="7"/>
        <v>0</v>
      </c>
      <c r="AG50" s="66">
        <f t="shared" si="18"/>
        <v>0</v>
      </c>
      <c r="AH50" s="66">
        <f t="shared" si="18"/>
        <v>0</v>
      </c>
      <c r="AI50" s="66">
        <f t="shared" si="18"/>
        <v>0</v>
      </c>
      <c r="AJ50" s="66">
        <f t="shared" si="18"/>
        <v>0</v>
      </c>
      <c r="AK50" s="66">
        <f t="shared" si="18"/>
        <v>0</v>
      </c>
      <c r="AL50" s="66">
        <f t="shared" si="18"/>
        <v>0</v>
      </c>
      <c r="AM50" s="66">
        <f t="shared" si="18"/>
        <v>0</v>
      </c>
      <c r="AN50" s="66">
        <f t="shared" si="18"/>
        <v>0</v>
      </c>
      <c r="AO50" s="66">
        <f t="shared" si="18"/>
        <v>0</v>
      </c>
      <c r="AQ50" s="49">
        <f t="shared" ref="AQ50:AY50" si="23">SUM(O50:O53)</f>
        <v>0</v>
      </c>
      <c r="AR50" s="49">
        <f t="shared" si="23"/>
        <v>0</v>
      </c>
      <c r="AS50" s="49">
        <f t="shared" si="23"/>
        <v>0</v>
      </c>
      <c r="AT50" s="49">
        <f t="shared" si="23"/>
        <v>0</v>
      </c>
      <c r="AU50" s="49">
        <f t="shared" si="23"/>
        <v>0</v>
      </c>
      <c r="AV50" s="49">
        <f t="shared" si="23"/>
        <v>0</v>
      </c>
      <c r="AW50" s="49">
        <f t="shared" si="23"/>
        <v>0</v>
      </c>
      <c r="AX50" s="49">
        <f t="shared" si="23"/>
        <v>0</v>
      </c>
      <c r="AY50" s="49">
        <f t="shared" si="23"/>
        <v>0</v>
      </c>
    </row>
    <row r="51" spans="1:51">
      <c r="A51" s="1">
        <f t="shared" si="10"/>
        <v>1.1458333333333335</v>
      </c>
      <c r="B51" s="1">
        <f t="shared" si="1"/>
        <v>1.1666666666666667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O51" s="24">
        <f t="shared" si="22"/>
        <v>0</v>
      </c>
      <c r="P51" s="24">
        <f t="shared" si="22"/>
        <v>0</v>
      </c>
      <c r="Q51" s="24">
        <f t="shared" si="22"/>
        <v>0</v>
      </c>
      <c r="R51" s="25">
        <f t="shared" si="22"/>
        <v>0</v>
      </c>
      <c r="S51" s="25">
        <f t="shared" si="22"/>
        <v>0</v>
      </c>
      <c r="T51" s="25">
        <f t="shared" si="22"/>
        <v>0</v>
      </c>
      <c r="U51" s="25">
        <f t="shared" si="22"/>
        <v>0</v>
      </c>
      <c r="V51" s="25">
        <f t="shared" si="22"/>
        <v>0</v>
      </c>
      <c r="W51" s="25">
        <f t="shared" si="22"/>
        <v>0</v>
      </c>
      <c r="X51" s="25">
        <f t="shared" si="22"/>
        <v>0</v>
      </c>
      <c r="Y51" s="26">
        <f t="shared" si="3"/>
        <v>0</v>
      </c>
      <c r="Z51" s="27">
        <f t="shared" si="4"/>
        <v>0</v>
      </c>
      <c r="AA51" s="27">
        <f t="shared" si="5"/>
        <v>0</v>
      </c>
      <c r="AB51" s="26">
        <f t="shared" si="6"/>
        <v>0</v>
      </c>
      <c r="AC51" s="28">
        <f t="shared" si="7"/>
        <v>0</v>
      </c>
      <c r="AG51" s="66">
        <f t="shared" si="18"/>
        <v>0</v>
      </c>
      <c r="AH51" s="66">
        <f t="shared" si="18"/>
        <v>0</v>
      </c>
      <c r="AI51" s="66">
        <f t="shared" si="18"/>
        <v>0</v>
      </c>
      <c r="AJ51" s="66">
        <f t="shared" si="18"/>
        <v>0</v>
      </c>
      <c r="AK51" s="66">
        <f t="shared" si="18"/>
        <v>0</v>
      </c>
      <c r="AL51" s="66">
        <f t="shared" si="18"/>
        <v>0</v>
      </c>
      <c r="AM51" s="66">
        <f t="shared" si="18"/>
        <v>0</v>
      </c>
      <c r="AN51" s="66">
        <f t="shared" si="18"/>
        <v>0</v>
      </c>
      <c r="AO51" s="66">
        <f t="shared" si="18"/>
        <v>0</v>
      </c>
      <c r="AU51" s="48"/>
      <c r="AV51" s="48"/>
      <c r="AW51" s="48"/>
      <c r="AX51" s="48"/>
      <c r="AY51" s="48"/>
    </row>
    <row r="52" spans="1:51">
      <c r="A52" s="1">
        <f t="shared" si="10"/>
        <v>1.1666666666666667</v>
      </c>
      <c r="B52" s="1">
        <f t="shared" si="1"/>
        <v>1.1875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O52" s="24">
        <f t="shared" si="22"/>
        <v>0</v>
      </c>
      <c r="P52" s="24">
        <f t="shared" si="22"/>
        <v>0</v>
      </c>
      <c r="Q52" s="24">
        <f t="shared" si="22"/>
        <v>0</v>
      </c>
      <c r="R52" s="25">
        <f t="shared" si="22"/>
        <v>0</v>
      </c>
      <c r="S52" s="25">
        <f t="shared" si="22"/>
        <v>0</v>
      </c>
      <c r="T52" s="25">
        <f t="shared" si="22"/>
        <v>0</v>
      </c>
      <c r="U52" s="25">
        <f t="shared" si="22"/>
        <v>0</v>
      </c>
      <c r="V52" s="25">
        <f t="shared" si="22"/>
        <v>0</v>
      </c>
      <c r="W52" s="25">
        <f t="shared" si="22"/>
        <v>0</v>
      </c>
      <c r="X52" s="25">
        <f t="shared" si="22"/>
        <v>0</v>
      </c>
      <c r="Y52" s="26">
        <f t="shared" si="3"/>
        <v>0</v>
      </c>
      <c r="Z52" s="27">
        <f t="shared" si="4"/>
        <v>0</v>
      </c>
      <c r="AA52" s="27">
        <f t="shared" si="5"/>
        <v>0</v>
      </c>
      <c r="AB52" s="26">
        <f t="shared" si="6"/>
        <v>0</v>
      </c>
      <c r="AC52" s="28">
        <f t="shared" si="7"/>
        <v>0</v>
      </c>
      <c r="AG52" s="66">
        <f t="shared" si="18"/>
        <v>0</v>
      </c>
      <c r="AH52" s="66">
        <f t="shared" si="18"/>
        <v>0</v>
      </c>
      <c r="AI52" s="66">
        <f t="shared" si="18"/>
        <v>0</v>
      </c>
      <c r="AJ52" s="66">
        <f t="shared" si="18"/>
        <v>0</v>
      </c>
      <c r="AK52" s="66">
        <f t="shared" si="18"/>
        <v>0</v>
      </c>
      <c r="AL52" s="66">
        <f t="shared" si="18"/>
        <v>0</v>
      </c>
      <c r="AM52" s="66">
        <f t="shared" si="18"/>
        <v>0</v>
      </c>
      <c r="AN52" s="66">
        <f t="shared" si="18"/>
        <v>0</v>
      </c>
      <c r="AO52" s="66">
        <f t="shared" si="18"/>
        <v>0</v>
      </c>
      <c r="AU52" s="48"/>
      <c r="AV52" s="48"/>
      <c r="AW52" s="48"/>
      <c r="AX52" s="48"/>
      <c r="AY52" s="48"/>
    </row>
    <row r="53" spans="1:51" ht="15.75" thickBot="1">
      <c r="A53" s="4">
        <f t="shared" si="10"/>
        <v>1.1875</v>
      </c>
      <c r="B53" s="4">
        <f t="shared" si="1"/>
        <v>1.2083333333333333</v>
      </c>
      <c r="C53" s="19"/>
      <c r="D53" s="19"/>
      <c r="E53" s="20"/>
      <c r="F53" s="20"/>
      <c r="G53" s="20"/>
      <c r="H53" s="20"/>
      <c r="I53" s="20"/>
      <c r="J53" s="20"/>
      <c r="K53" s="20"/>
      <c r="L53" s="20"/>
      <c r="O53" s="39">
        <f t="shared" si="22"/>
        <v>0</v>
      </c>
      <c r="P53" s="39">
        <f t="shared" si="22"/>
        <v>0</v>
      </c>
      <c r="Q53" s="39">
        <f t="shared" si="22"/>
        <v>0</v>
      </c>
      <c r="R53" s="40">
        <f t="shared" si="22"/>
        <v>0</v>
      </c>
      <c r="S53" s="40">
        <f t="shared" si="22"/>
        <v>0</v>
      </c>
      <c r="T53" s="40">
        <f t="shared" si="22"/>
        <v>0</v>
      </c>
      <c r="U53" s="40">
        <f t="shared" si="22"/>
        <v>0</v>
      </c>
      <c r="V53" s="40">
        <f t="shared" si="22"/>
        <v>0</v>
      </c>
      <c r="W53" s="40">
        <f t="shared" si="22"/>
        <v>0</v>
      </c>
      <c r="X53" s="40">
        <f t="shared" si="22"/>
        <v>0</v>
      </c>
      <c r="Y53" s="41">
        <f t="shared" si="3"/>
        <v>0</v>
      </c>
      <c r="Z53" s="42">
        <f t="shared" si="4"/>
        <v>0</v>
      </c>
      <c r="AA53" s="42">
        <f t="shared" si="5"/>
        <v>0</v>
      </c>
      <c r="AB53" s="41">
        <f t="shared" si="6"/>
        <v>0</v>
      </c>
      <c r="AC53" s="43">
        <f t="shared" si="7"/>
        <v>0</v>
      </c>
      <c r="AG53" s="66">
        <f t="shared" si="18"/>
        <v>0</v>
      </c>
      <c r="AH53" s="66">
        <f t="shared" si="18"/>
        <v>0</v>
      </c>
      <c r="AI53" s="66">
        <f t="shared" si="18"/>
        <v>0</v>
      </c>
      <c r="AJ53" s="66">
        <f t="shared" si="18"/>
        <v>0</v>
      </c>
      <c r="AK53" s="66">
        <f t="shared" si="18"/>
        <v>0</v>
      </c>
      <c r="AL53" s="66">
        <f t="shared" si="18"/>
        <v>0</v>
      </c>
      <c r="AM53" s="66">
        <f t="shared" si="18"/>
        <v>0</v>
      </c>
      <c r="AN53" s="66">
        <f t="shared" si="18"/>
        <v>0</v>
      </c>
      <c r="AO53" s="66">
        <f t="shared" si="18"/>
        <v>0</v>
      </c>
      <c r="AU53" s="48"/>
      <c r="AV53" s="48"/>
      <c r="AW53" s="48"/>
      <c r="AX53" s="48"/>
      <c r="AY53" s="48"/>
    </row>
    <row r="54" spans="1:51">
      <c r="A54" s="3">
        <f t="shared" si="10"/>
        <v>1.2083333333333333</v>
      </c>
      <c r="B54" s="3">
        <f t="shared" si="1"/>
        <v>1.2291666666666665</v>
      </c>
      <c r="C54" s="21"/>
      <c r="D54" s="21"/>
      <c r="E54" s="22"/>
      <c r="F54" s="22"/>
      <c r="G54" s="22"/>
      <c r="H54" s="22"/>
      <c r="I54" s="22"/>
      <c r="J54" s="22"/>
      <c r="K54" s="22"/>
      <c r="L54" s="22"/>
      <c r="O54" s="34">
        <f t="shared" si="22"/>
        <v>0</v>
      </c>
      <c r="P54" s="34">
        <f t="shared" si="22"/>
        <v>0</v>
      </c>
      <c r="Q54" s="34">
        <f t="shared" si="22"/>
        <v>0</v>
      </c>
      <c r="R54" s="35">
        <f t="shared" si="22"/>
        <v>0</v>
      </c>
      <c r="S54" s="35">
        <f t="shared" si="22"/>
        <v>0</v>
      </c>
      <c r="T54" s="35">
        <f t="shared" si="22"/>
        <v>0</v>
      </c>
      <c r="U54" s="35">
        <f t="shared" si="22"/>
        <v>0</v>
      </c>
      <c r="V54" s="35">
        <f t="shared" si="22"/>
        <v>0</v>
      </c>
      <c r="W54" s="35">
        <f t="shared" si="22"/>
        <v>0</v>
      </c>
      <c r="X54" s="35">
        <f t="shared" si="22"/>
        <v>0</v>
      </c>
      <c r="Y54" s="36">
        <f t="shared" si="3"/>
        <v>0</v>
      </c>
      <c r="Z54" s="37">
        <f t="shared" si="4"/>
        <v>0</v>
      </c>
      <c r="AA54" s="37">
        <f t="shared" si="5"/>
        <v>0</v>
      </c>
      <c r="AB54" s="36">
        <f t="shared" si="6"/>
        <v>0</v>
      </c>
      <c r="AC54" s="38">
        <f t="shared" si="7"/>
        <v>0</v>
      </c>
      <c r="AG54" s="66">
        <f t="shared" si="18"/>
        <v>0</v>
      </c>
      <c r="AH54" s="66">
        <f t="shared" si="18"/>
        <v>0</v>
      </c>
      <c r="AI54" s="66">
        <f t="shared" si="18"/>
        <v>0</v>
      </c>
      <c r="AJ54" s="66">
        <f t="shared" si="18"/>
        <v>0</v>
      </c>
      <c r="AK54" s="66">
        <f t="shared" si="18"/>
        <v>0</v>
      </c>
      <c r="AL54" s="66">
        <f t="shared" si="18"/>
        <v>0</v>
      </c>
      <c r="AM54" s="66">
        <f t="shared" si="18"/>
        <v>0</v>
      </c>
      <c r="AN54" s="66">
        <f t="shared" si="18"/>
        <v>0</v>
      </c>
      <c r="AO54" s="66">
        <f t="shared" si="18"/>
        <v>0</v>
      </c>
      <c r="AQ54" s="49">
        <f t="shared" ref="AQ54:AY54" si="24">SUM(O54:O57)</f>
        <v>0</v>
      </c>
      <c r="AR54" s="49">
        <f t="shared" si="24"/>
        <v>0</v>
      </c>
      <c r="AS54" s="49">
        <f t="shared" si="24"/>
        <v>0</v>
      </c>
      <c r="AT54" s="49">
        <f t="shared" si="24"/>
        <v>0</v>
      </c>
      <c r="AU54" s="49">
        <f t="shared" si="24"/>
        <v>0</v>
      </c>
      <c r="AV54" s="49">
        <f t="shared" si="24"/>
        <v>0</v>
      </c>
      <c r="AW54" s="49">
        <f t="shared" si="24"/>
        <v>0</v>
      </c>
      <c r="AX54" s="49">
        <f t="shared" si="24"/>
        <v>0</v>
      </c>
      <c r="AY54" s="49">
        <f t="shared" si="24"/>
        <v>0</v>
      </c>
    </row>
    <row r="55" spans="1:51">
      <c r="A55" s="1">
        <f t="shared" si="10"/>
        <v>1.2291666666666665</v>
      </c>
      <c r="B55" s="1">
        <f t="shared" si="1"/>
        <v>1.2499999999999998</v>
      </c>
      <c r="C55" s="17"/>
      <c r="D55" s="17"/>
      <c r="E55" s="18"/>
      <c r="F55" s="18"/>
      <c r="G55" s="18"/>
      <c r="H55" s="18"/>
      <c r="I55" s="18"/>
      <c r="J55" s="18"/>
      <c r="K55" s="18"/>
      <c r="L55" s="18"/>
      <c r="O55" s="24">
        <f t="shared" si="22"/>
        <v>0</v>
      </c>
      <c r="P55" s="24">
        <f t="shared" si="22"/>
        <v>0</v>
      </c>
      <c r="Q55" s="24">
        <f t="shared" si="22"/>
        <v>0</v>
      </c>
      <c r="R55" s="25">
        <f t="shared" si="22"/>
        <v>0</v>
      </c>
      <c r="S55" s="25">
        <f t="shared" si="22"/>
        <v>0</v>
      </c>
      <c r="T55" s="25">
        <f t="shared" si="22"/>
        <v>0</v>
      </c>
      <c r="U55" s="25">
        <f t="shared" si="22"/>
        <v>0</v>
      </c>
      <c r="V55" s="25">
        <f t="shared" si="22"/>
        <v>0</v>
      </c>
      <c r="W55" s="25">
        <f t="shared" si="22"/>
        <v>0</v>
      </c>
      <c r="X55" s="25">
        <f t="shared" si="22"/>
        <v>0</v>
      </c>
      <c r="Y55" s="26">
        <f t="shared" si="3"/>
        <v>0</v>
      </c>
      <c r="Z55" s="27">
        <f t="shared" si="4"/>
        <v>0</v>
      </c>
      <c r="AA55" s="27">
        <f t="shared" si="5"/>
        <v>0</v>
      </c>
      <c r="AB55" s="26">
        <f t="shared" si="6"/>
        <v>0</v>
      </c>
      <c r="AC55" s="28">
        <f t="shared" si="7"/>
        <v>0</v>
      </c>
      <c r="AG55" s="66">
        <f t="shared" si="18"/>
        <v>0</v>
      </c>
      <c r="AH55" s="66">
        <f t="shared" si="18"/>
        <v>0</v>
      </c>
      <c r="AI55" s="66">
        <f t="shared" si="18"/>
        <v>0</v>
      </c>
      <c r="AJ55" s="66">
        <f t="shared" si="18"/>
        <v>0</v>
      </c>
      <c r="AK55" s="66">
        <f t="shared" si="18"/>
        <v>0</v>
      </c>
      <c r="AL55" s="66">
        <f t="shared" si="18"/>
        <v>0</v>
      </c>
      <c r="AM55" s="66">
        <f t="shared" si="18"/>
        <v>0</v>
      </c>
      <c r="AN55" s="66">
        <f t="shared" si="18"/>
        <v>0</v>
      </c>
      <c r="AO55" s="66">
        <f t="shared" si="18"/>
        <v>0</v>
      </c>
      <c r="AU55" s="48"/>
      <c r="AV55" s="48"/>
      <c r="AW55" s="48"/>
      <c r="AX55" s="48"/>
      <c r="AY55" s="48"/>
    </row>
    <row r="56" spans="1:51">
      <c r="A56" s="1">
        <f t="shared" si="10"/>
        <v>1.2499999999999998</v>
      </c>
      <c r="B56" s="1">
        <f t="shared" si="1"/>
        <v>1.270833333333333</v>
      </c>
      <c r="C56" s="17"/>
      <c r="D56" s="17"/>
      <c r="E56" s="18"/>
      <c r="F56" s="18"/>
      <c r="G56" s="18"/>
      <c r="H56" s="18"/>
      <c r="I56" s="18"/>
      <c r="J56" s="18"/>
      <c r="K56" s="18"/>
      <c r="L56" s="18"/>
      <c r="O56" s="24">
        <f t="shared" si="22"/>
        <v>0</v>
      </c>
      <c r="P56" s="24">
        <f t="shared" si="22"/>
        <v>0</v>
      </c>
      <c r="Q56" s="24">
        <f t="shared" si="22"/>
        <v>0</v>
      </c>
      <c r="R56" s="25">
        <f t="shared" si="22"/>
        <v>0</v>
      </c>
      <c r="S56" s="25">
        <f t="shared" si="22"/>
        <v>0</v>
      </c>
      <c r="T56" s="25">
        <f t="shared" si="22"/>
        <v>0</v>
      </c>
      <c r="U56" s="25">
        <f t="shared" si="22"/>
        <v>0</v>
      </c>
      <c r="V56" s="25">
        <f t="shared" si="22"/>
        <v>0</v>
      </c>
      <c r="W56" s="25">
        <f t="shared" si="22"/>
        <v>0</v>
      </c>
      <c r="X56" s="25">
        <f t="shared" si="22"/>
        <v>0</v>
      </c>
      <c r="Y56" s="26">
        <f t="shared" si="3"/>
        <v>0</v>
      </c>
      <c r="Z56" s="27">
        <f t="shared" si="4"/>
        <v>0</v>
      </c>
      <c r="AA56" s="27">
        <f t="shared" si="5"/>
        <v>0</v>
      </c>
      <c r="AB56" s="26">
        <f t="shared" si="6"/>
        <v>0</v>
      </c>
      <c r="AC56" s="28">
        <f t="shared" si="7"/>
        <v>0</v>
      </c>
      <c r="AG56" s="66">
        <f t="shared" si="18"/>
        <v>0</v>
      </c>
      <c r="AH56" s="66">
        <f t="shared" si="18"/>
        <v>0</v>
      </c>
      <c r="AI56" s="66">
        <f t="shared" si="18"/>
        <v>0</v>
      </c>
      <c r="AJ56" s="66">
        <f t="shared" si="18"/>
        <v>0</v>
      </c>
      <c r="AK56" s="66">
        <f t="shared" si="18"/>
        <v>0</v>
      </c>
      <c r="AL56" s="66">
        <f t="shared" si="18"/>
        <v>0</v>
      </c>
      <c r="AM56" s="66">
        <f t="shared" si="18"/>
        <v>0</v>
      </c>
      <c r="AN56" s="66">
        <f t="shared" si="18"/>
        <v>0</v>
      </c>
      <c r="AO56" s="66">
        <f t="shared" si="18"/>
        <v>0</v>
      </c>
      <c r="AU56" s="48"/>
      <c r="AV56" s="48"/>
      <c r="AW56" s="48"/>
      <c r="AX56" s="48"/>
      <c r="AY56" s="48"/>
    </row>
    <row r="57" spans="1:51">
      <c r="A57" s="2">
        <f t="shared" si="10"/>
        <v>1.270833333333333</v>
      </c>
      <c r="B57" s="2">
        <f t="shared" si="1"/>
        <v>1.2916666666666663</v>
      </c>
      <c r="C57" s="19"/>
      <c r="D57" s="19"/>
      <c r="E57" s="20"/>
      <c r="F57" s="20"/>
      <c r="G57" s="20"/>
      <c r="H57" s="20"/>
      <c r="I57" s="20"/>
      <c r="J57" s="20"/>
      <c r="K57" s="20"/>
      <c r="L57" s="20"/>
      <c r="O57" s="29">
        <f t="shared" si="22"/>
        <v>0</v>
      </c>
      <c r="P57" s="29">
        <f t="shared" si="22"/>
        <v>0</v>
      </c>
      <c r="Q57" s="29">
        <f t="shared" si="22"/>
        <v>0</v>
      </c>
      <c r="R57" s="30">
        <f t="shared" si="22"/>
        <v>0</v>
      </c>
      <c r="S57" s="30">
        <f t="shared" si="22"/>
        <v>0</v>
      </c>
      <c r="T57" s="30">
        <f t="shared" si="22"/>
        <v>0</v>
      </c>
      <c r="U57" s="30">
        <f t="shared" si="22"/>
        <v>0</v>
      </c>
      <c r="V57" s="30">
        <f t="shared" si="22"/>
        <v>0</v>
      </c>
      <c r="W57" s="30">
        <f t="shared" si="22"/>
        <v>0</v>
      </c>
      <c r="X57" s="30">
        <f t="shared" si="22"/>
        <v>0</v>
      </c>
      <c r="Y57" s="31">
        <f t="shared" si="3"/>
        <v>0</v>
      </c>
      <c r="Z57" s="32">
        <f t="shared" si="4"/>
        <v>0</v>
      </c>
      <c r="AA57" s="32">
        <f t="shared" si="5"/>
        <v>0</v>
      </c>
      <c r="AB57" s="31">
        <f t="shared" si="6"/>
        <v>0</v>
      </c>
      <c r="AC57" s="33">
        <f t="shared" si="7"/>
        <v>0</v>
      </c>
      <c r="AG57" s="66">
        <f t="shared" si="18"/>
        <v>0</v>
      </c>
      <c r="AH57" s="66">
        <f t="shared" si="18"/>
        <v>0</v>
      </c>
      <c r="AI57" s="66">
        <f t="shared" si="18"/>
        <v>0</v>
      </c>
      <c r="AJ57" s="66">
        <f t="shared" si="18"/>
        <v>0</v>
      </c>
      <c r="AK57" s="66">
        <f t="shared" si="18"/>
        <v>0</v>
      </c>
      <c r="AL57" s="66">
        <f t="shared" si="18"/>
        <v>0</v>
      </c>
      <c r="AM57" s="66">
        <f t="shared" si="18"/>
        <v>0</v>
      </c>
      <c r="AN57" s="66">
        <f t="shared" si="18"/>
        <v>0</v>
      </c>
      <c r="AO57" s="66">
        <f t="shared" si="18"/>
        <v>0</v>
      </c>
      <c r="AU57" s="48"/>
      <c r="AV57" s="48"/>
      <c r="AW57" s="48"/>
      <c r="AX57" s="48"/>
      <c r="AY57" s="48"/>
    </row>
    <row r="58" spans="1:51">
      <c r="A58" s="3">
        <f t="shared" si="10"/>
        <v>1.2916666666666663</v>
      </c>
      <c r="B58" s="3">
        <f t="shared" si="1"/>
        <v>1.3124999999999996</v>
      </c>
      <c r="C58" s="21"/>
      <c r="D58" s="21"/>
      <c r="E58" s="22"/>
      <c r="F58" s="22"/>
      <c r="G58" s="22"/>
      <c r="H58" s="22"/>
      <c r="I58" s="22"/>
      <c r="J58" s="22"/>
      <c r="K58" s="22"/>
      <c r="L58" s="22"/>
      <c r="O58" s="34">
        <f t="shared" si="22"/>
        <v>0</v>
      </c>
      <c r="P58" s="34">
        <f t="shared" si="22"/>
        <v>0</v>
      </c>
      <c r="Q58" s="34">
        <f t="shared" si="22"/>
        <v>0</v>
      </c>
      <c r="R58" s="35">
        <f t="shared" si="22"/>
        <v>0</v>
      </c>
      <c r="S58" s="35">
        <f t="shared" si="22"/>
        <v>0</v>
      </c>
      <c r="T58" s="35">
        <f t="shared" si="22"/>
        <v>0</v>
      </c>
      <c r="U58" s="35">
        <f t="shared" si="22"/>
        <v>0</v>
      </c>
      <c r="V58" s="35">
        <f t="shared" si="22"/>
        <v>0</v>
      </c>
      <c r="W58" s="35">
        <f t="shared" si="22"/>
        <v>0</v>
      </c>
      <c r="X58" s="35">
        <f t="shared" si="22"/>
        <v>0</v>
      </c>
      <c r="Y58" s="36">
        <f t="shared" si="3"/>
        <v>0</v>
      </c>
      <c r="Z58" s="37">
        <f t="shared" si="4"/>
        <v>0</v>
      </c>
      <c r="AA58" s="37">
        <f t="shared" si="5"/>
        <v>0</v>
      </c>
      <c r="AB58" s="36">
        <f t="shared" si="6"/>
        <v>0</v>
      </c>
      <c r="AC58" s="38">
        <f t="shared" si="7"/>
        <v>0</v>
      </c>
      <c r="AG58" s="66">
        <f t="shared" si="18"/>
        <v>0</v>
      </c>
      <c r="AH58" s="66">
        <f t="shared" si="18"/>
        <v>0</v>
      </c>
      <c r="AI58" s="66">
        <f t="shared" si="18"/>
        <v>0</v>
      </c>
      <c r="AJ58" s="66">
        <f t="shared" si="18"/>
        <v>0</v>
      </c>
      <c r="AK58" s="66">
        <f t="shared" si="18"/>
        <v>0</v>
      </c>
      <c r="AL58" s="66">
        <f t="shared" si="18"/>
        <v>0</v>
      </c>
      <c r="AM58" s="66">
        <f t="shared" si="18"/>
        <v>0</v>
      </c>
      <c r="AN58" s="66">
        <f t="shared" si="18"/>
        <v>0</v>
      </c>
      <c r="AO58" s="66">
        <f t="shared" si="18"/>
        <v>0</v>
      </c>
      <c r="AQ58" s="49">
        <f t="shared" ref="AQ58:AY58" si="25">SUM(O58:O61)</f>
        <v>0</v>
      </c>
      <c r="AR58" s="49">
        <f t="shared" si="25"/>
        <v>0</v>
      </c>
      <c r="AS58" s="49">
        <f t="shared" si="25"/>
        <v>0</v>
      </c>
      <c r="AT58" s="49">
        <f t="shared" si="25"/>
        <v>0</v>
      </c>
      <c r="AU58" s="49">
        <f t="shared" si="25"/>
        <v>0</v>
      </c>
      <c r="AV58" s="49">
        <f t="shared" si="25"/>
        <v>0</v>
      </c>
      <c r="AW58" s="49">
        <f t="shared" si="25"/>
        <v>0</v>
      </c>
      <c r="AX58" s="49">
        <f t="shared" si="25"/>
        <v>0</v>
      </c>
      <c r="AY58" s="49">
        <f t="shared" si="25"/>
        <v>0</v>
      </c>
    </row>
    <row r="59" spans="1:51">
      <c r="A59" s="1">
        <f t="shared" si="10"/>
        <v>1.3124999999999996</v>
      </c>
      <c r="B59" s="1">
        <f t="shared" si="1"/>
        <v>1.3333333333333328</v>
      </c>
      <c r="C59" s="17"/>
      <c r="D59" s="17"/>
      <c r="E59" s="18"/>
      <c r="F59" s="18"/>
      <c r="G59" s="18"/>
      <c r="H59" s="18"/>
      <c r="I59" s="18"/>
      <c r="J59" s="18"/>
      <c r="K59" s="18"/>
      <c r="L59" s="18"/>
      <c r="O59" s="24">
        <f t="shared" si="22"/>
        <v>0</v>
      </c>
      <c r="P59" s="24">
        <f t="shared" si="22"/>
        <v>0</v>
      </c>
      <c r="Q59" s="24">
        <f t="shared" si="22"/>
        <v>0</v>
      </c>
      <c r="R59" s="25">
        <f t="shared" si="22"/>
        <v>0</v>
      </c>
      <c r="S59" s="25">
        <f t="shared" si="22"/>
        <v>0</v>
      </c>
      <c r="T59" s="25">
        <f t="shared" si="22"/>
        <v>0</v>
      </c>
      <c r="U59" s="25">
        <f t="shared" si="22"/>
        <v>0</v>
      </c>
      <c r="V59" s="25">
        <f t="shared" si="22"/>
        <v>0</v>
      </c>
      <c r="W59" s="25">
        <f t="shared" si="22"/>
        <v>0</v>
      </c>
      <c r="X59" s="25">
        <f t="shared" si="22"/>
        <v>0</v>
      </c>
      <c r="Y59" s="26">
        <f t="shared" si="3"/>
        <v>0</v>
      </c>
      <c r="Z59" s="27">
        <f t="shared" si="4"/>
        <v>0</v>
      </c>
      <c r="AA59" s="27">
        <f t="shared" si="5"/>
        <v>0</v>
      </c>
      <c r="AB59" s="26">
        <f t="shared" si="6"/>
        <v>0</v>
      </c>
      <c r="AC59" s="28">
        <f t="shared" si="7"/>
        <v>0</v>
      </c>
      <c r="AG59" s="66">
        <f t="shared" si="18"/>
        <v>0</v>
      </c>
      <c r="AH59" s="66">
        <f t="shared" si="18"/>
        <v>0</v>
      </c>
      <c r="AI59" s="66">
        <f t="shared" si="18"/>
        <v>0</v>
      </c>
      <c r="AJ59" s="66">
        <f t="shared" si="18"/>
        <v>0</v>
      </c>
      <c r="AK59" s="66">
        <f t="shared" si="18"/>
        <v>0</v>
      </c>
      <c r="AL59" s="66">
        <f t="shared" si="18"/>
        <v>0</v>
      </c>
      <c r="AM59" s="66">
        <f t="shared" si="18"/>
        <v>0</v>
      </c>
      <c r="AN59" s="66">
        <f t="shared" si="18"/>
        <v>0</v>
      </c>
      <c r="AO59" s="66">
        <f t="shared" si="18"/>
        <v>0</v>
      </c>
      <c r="AU59" s="48"/>
      <c r="AV59" s="48"/>
      <c r="AW59" s="48"/>
      <c r="AX59" s="48"/>
      <c r="AY59" s="48"/>
    </row>
    <row r="60" spans="1:51">
      <c r="A60" s="1">
        <f t="shared" si="10"/>
        <v>1.3333333333333328</v>
      </c>
      <c r="B60" s="1">
        <f t="shared" si="1"/>
        <v>1.3541666666666661</v>
      </c>
      <c r="C60" s="17"/>
      <c r="D60" s="17"/>
      <c r="E60" s="18"/>
      <c r="F60" s="18"/>
      <c r="G60" s="18"/>
      <c r="H60" s="18"/>
      <c r="I60" s="18"/>
      <c r="J60" s="18"/>
      <c r="K60" s="18"/>
      <c r="L60" s="18"/>
      <c r="O60" s="24">
        <f t="shared" si="22"/>
        <v>0</v>
      </c>
      <c r="P60" s="24">
        <f t="shared" si="22"/>
        <v>0</v>
      </c>
      <c r="Q60" s="24">
        <f t="shared" si="22"/>
        <v>0</v>
      </c>
      <c r="R60" s="25">
        <f t="shared" si="22"/>
        <v>0</v>
      </c>
      <c r="S60" s="25">
        <f t="shared" si="22"/>
        <v>0</v>
      </c>
      <c r="T60" s="25">
        <f t="shared" si="22"/>
        <v>0</v>
      </c>
      <c r="U60" s="25">
        <f t="shared" si="22"/>
        <v>0</v>
      </c>
      <c r="V60" s="25">
        <f t="shared" si="22"/>
        <v>0</v>
      </c>
      <c r="W60" s="25">
        <f t="shared" si="22"/>
        <v>0</v>
      </c>
      <c r="X60" s="25">
        <f t="shared" si="22"/>
        <v>0</v>
      </c>
      <c r="Y60" s="26">
        <f t="shared" si="3"/>
        <v>0</v>
      </c>
      <c r="Z60" s="27">
        <f t="shared" si="4"/>
        <v>0</v>
      </c>
      <c r="AA60" s="27">
        <f t="shared" si="5"/>
        <v>0</v>
      </c>
      <c r="AB60" s="26">
        <f t="shared" si="6"/>
        <v>0</v>
      </c>
      <c r="AC60" s="28">
        <f t="shared" si="7"/>
        <v>0</v>
      </c>
      <c r="AG60" s="66">
        <f t="shared" si="18"/>
        <v>0</v>
      </c>
      <c r="AH60" s="66">
        <f t="shared" si="18"/>
        <v>0</v>
      </c>
      <c r="AI60" s="66">
        <f t="shared" si="18"/>
        <v>0</v>
      </c>
      <c r="AJ60" s="66">
        <f t="shared" si="18"/>
        <v>0</v>
      </c>
      <c r="AK60" s="66">
        <f t="shared" si="18"/>
        <v>0</v>
      </c>
      <c r="AL60" s="66">
        <f t="shared" si="18"/>
        <v>0</v>
      </c>
      <c r="AM60" s="66">
        <f t="shared" si="18"/>
        <v>0</v>
      </c>
      <c r="AN60" s="66">
        <f t="shared" si="18"/>
        <v>0</v>
      </c>
      <c r="AO60" s="66">
        <f t="shared" si="18"/>
        <v>0</v>
      </c>
      <c r="AU60" s="48"/>
      <c r="AV60" s="48"/>
      <c r="AW60" s="48"/>
      <c r="AX60" s="48"/>
      <c r="AY60" s="48"/>
    </row>
    <row r="61" spans="1:51">
      <c r="A61" s="2">
        <f t="shared" si="10"/>
        <v>1.3541666666666661</v>
      </c>
      <c r="B61" s="2">
        <f t="shared" si="1"/>
        <v>1.3749999999999993</v>
      </c>
      <c r="C61" s="19"/>
      <c r="D61" s="19"/>
      <c r="E61" s="20"/>
      <c r="F61" s="20"/>
      <c r="G61" s="20"/>
      <c r="H61" s="20"/>
      <c r="I61" s="20"/>
      <c r="J61" s="20"/>
      <c r="K61" s="20"/>
      <c r="L61" s="20"/>
      <c r="O61" s="29">
        <f t="shared" si="22"/>
        <v>0</v>
      </c>
      <c r="P61" s="29">
        <f t="shared" si="22"/>
        <v>0</v>
      </c>
      <c r="Q61" s="29">
        <f t="shared" si="22"/>
        <v>0</v>
      </c>
      <c r="R61" s="30">
        <f t="shared" si="22"/>
        <v>0</v>
      </c>
      <c r="S61" s="30">
        <f t="shared" si="22"/>
        <v>0</v>
      </c>
      <c r="T61" s="30">
        <f t="shared" si="22"/>
        <v>0</v>
      </c>
      <c r="U61" s="30">
        <f t="shared" si="22"/>
        <v>0</v>
      </c>
      <c r="V61" s="30">
        <f t="shared" si="22"/>
        <v>0</v>
      </c>
      <c r="W61" s="30">
        <f t="shared" si="22"/>
        <v>0</v>
      </c>
      <c r="X61" s="30">
        <f t="shared" si="22"/>
        <v>0</v>
      </c>
      <c r="Y61" s="31">
        <f t="shared" si="3"/>
        <v>0</v>
      </c>
      <c r="Z61" s="32">
        <f t="shared" si="4"/>
        <v>0</v>
      </c>
      <c r="AA61" s="32">
        <f t="shared" si="5"/>
        <v>0</v>
      </c>
      <c r="AB61" s="31">
        <f t="shared" si="6"/>
        <v>0</v>
      </c>
      <c r="AC61" s="33">
        <f t="shared" si="7"/>
        <v>0</v>
      </c>
      <c r="AG61" s="66">
        <f t="shared" si="18"/>
        <v>0</v>
      </c>
      <c r="AH61" s="66">
        <f t="shared" si="18"/>
        <v>0</v>
      </c>
      <c r="AI61" s="66">
        <f t="shared" si="18"/>
        <v>0</v>
      </c>
      <c r="AJ61" s="66">
        <f t="shared" si="18"/>
        <v>0</v>
      </c>
      <c r="AK61" s="66">
        <f t="shared" si="18"/>
        <v>0</v>
      </c>
      <c r="AL61" s="66">
        <f t="shared" si="18"/>
        <v>0</v>
      </c>
      <c r="AM61" s="66">
        <f t="shared" si="18"/>
        <v>0</v>
      </c>
      <c r="AN61" s="66">
        <f t="shared" si="18"/>
        <v>0</v>
      </c>
      <c r="AO61" s="66">
        <f t="shared" si="18"/>
        <v>0</v>
      </c>
      <c r="AU61" s="48"/>
      <c r="AV61" s="48"/>
      <c r="AW61" s="48"/>
      <c r="AX61" s="48"/>
      <c r="AY61" s="48"/>
    </row>
    <row r="62" spans="1:51">
      <c r="A62" s="3">
        <f t="shared" si="10"/>
        <v>1.3749999999999993</v>
      </c>
      <c r="B62" s="3">
        <f t="shared" si="1"/>
        <v>1.3958333333333326</v>
      </c>
      <c r="C62" s="21"/>
      <c r="D62" s="21"/>
      <c r="E62" s="22"/>
      <c r="F62" s="22"/>
      <c r="G62" s="22"/>
      <c r="H62" s="22"/>
      <c r="I62" s="22"/>
      <c r="J62" s="22"/>
      <c r="K62" s="22"/>
      <c r="L62" s="22"/>
      <c r="O62" s="34">
        <f t="shared" si="22"/>
        <v>0</v>
      </c>
      <c r="P62" s="34">
        <f t="shared" si="22"/>
        <v>0</v>
      </c>
      <c r="Q62" s="34">
        <f t="shared" si="22"/>
        <v>0</v>
      </c>
      <c r="R62" s="35">
        <f t="shared" si="22"/>
        <v>0</v>
      </c>
      <c r="S62" s="35">
        <f t="shared" si="22"/>
        <v>0</v>
      </c>
      <c r="T62" s="35">
        <f t="shared" si="22"/>
        <v>0</v>
      </c>
      <c r="U62" s="35">
        <f t="shared" si="22"/>
        <v>0</v>
      </c>
      <c r="V62" s="35">
        <f t="shared" si="22"/>
        <v>0</v>
      </c>
      <c r="W62" s="35">
        <f t="shared" si="22"/>
        <v>0</v>
      </c>
      <c r="X62" s="35">
        <f t="shared" si="22"/>
        <v>0</v>
      </c>
      <c r="Y62" s="36">
        <f t="shared" si="3"/>
        <v>0</v>
      </c>
      <c r="Z62" s="37">
        <f t="shared" si="4"/>
        <v>0</v>
      </c>
      <c r="AA62" s="37">
        <f t="shared" si="5"/>
        <v>0</v>
      </c>
      <c r="AB62" s="36">
        <f t="shared" si="6"/>
        <v>0</v>
      </c>
      <c r="AC62" s="38">
        <f t="shared" si="7"/>
        <v>0</v>
      </c>
      <c r="AG62" s="66">
        <f t="shared" si="18"/>
        <v>0</v>
      </c>
      <c r="AH62" s="66">
        <f t="shared" si="18"/>
        <v>0</v>
      </c>
      <c r="AI62" s="66">
        <f t="shared" si="18"/>
        <v>0</v>
      </c>
      <c r="AJ62" s="66">
        <f t="shared" si="18"/>
        <v>0</v>
      </c>
      <c r="AK62" s="66">
        <f t="shared" si="18"/>
        <v>0</v>
      </c>
      <c r="AL62" s="66">
        <f t="shared" si="18"/>
        <v>0</v>
      </c>
      <c r="AM62" s="66">
        <f t="shared" si="18"/>
        <v>0</v>
      </c>
      <c r="AN62" s="66">
        <f t="shared" si="18"/>
        <v>0</v>
      </c>
      <c r="AO62" s="66">
        <f t="shared" si="18"/>
        <v>0</v>
      </c>
      <c r="AQ62" s="49">
        <f t="shared" ref="AQ62:AY62" si="26">SUM(O62:O65)</f>
        <v>0</v>
      </c>
      <c r="AR62" s="49">
        <f t="shared" si="26"/>
        <v>0</v>
      </c>
      <c r="AS62" s="49">
        <f t="shared" si="26"/>
        <v>0</v>
      </c>
      <c r="AT62" s="49">
        <f t="shared" si="26"/>
        <v>0</v>
      </c>
      <c r="AU62" s="49">
        <f t="shared" si="26"/>
        <v>0</v>
      </c>
      <c r="AV62" s="49">
        <f t="shared" si="26"/>
        <v>0</v>
      </c>
      <c r="AW62" s="49">
        <f t="shared" si="26"/>
        <v>0</v>
      </c>
      <c r="AX62" s="49">
        <f t="shared" si="26"/>
        <v>0</v>
      </c>
      <c r="AY62" s="49">
        <f t="shared" si="26"/>
        <v>0</v>
      </c>
    </row>
    <row r="63" spans="1:51">
      <c r="A63" s="1">
        <f t="shared" si="10"/>
        <v>1.3958333333333326</v>
      </c>
      <c r="B63" s="1">
        <f t="shared" si="1"/>
        <v>1.4166666666666659</v>
      </c>
      <c r="C63" s="17"/>
      <c r="D63" s="17"/>
      <c r="E63" s="18"/>
      <c r="F63" s="18"/>
      <c r="G63" s="18"/>
      <c r="H63" s="18"/>
      <c r="I63" s="18"/>
      <c r="J63" s="18"/>
      <c r="K63" s="18"/>
      <c r="L63" s="18"/>
      <c r="O63" s="24">
        <f t="shared" si="22"/>
        <v>0</v>
      </c>
      <c r="P63" s="24">
        <f t="shared" si="22"/>
        <v>0</v>
      </c>
      <c r="Q63" s="24">
        <f t="shared" si="22"/>
        <v>0</v>
      </c>
      <c r="R63" s="25">
        <f t="shared" si="22"/>
        <v>0</v>
      </c>
      <c r="S63" s="25">
        <f t="shared" si="22"/>
        <v>0</v>
      </c>
      <c r="T63" s="25">
        <f t="shared" si="22"/>
        <v>0</v>
      </c>
      <c r="U63" s="25">
        <f t="shared" si="22"/>
        <v>0</v>
      </c>
      <c r="V63" s="25">
        <f t="shared" si="22"/>
        <v>0</v>
      </c>
      <c r="W63" s="25">
        <f t="shared" si="22"/>
        <v>0</v>
      </c>
      <c r="X63" s="25">
        <f t="shared" si="22"/>
        <v>0</v>
      </c>
      <c r="Y63" s="26">
        <f t="shared" si="3"/>
        <v>0</v>
      </c>
      <c r="Z63" s="27">
        <f t="shared" si="4"/>
        <v>0</v>
      </c>
      <c r="AA63" s="27">
        <f t="shared" si="5"/>
        <v>0</v>
      </c>
      <c r="AB63" s="26">
        <f t="shared" si="6"/>
        <v>0</v>
      </c>
      <c r="AC63" s="28">
        <f t="shared" si="7"/>
        <v>0</v>
      </c>
      <c r="AG63" s="66">
        <f t="shared" si="18"/>
        <v>0</v>
      </c>
      <c r="AH63" s="66">
        <f t="shared" si="18"/>
        <v>0</v>
      </c>
      <c r="AI63" s="66">
        <f t="shared" si="18"/>
        <v>0</v>
      </c>
      <c r="AJ63" s="66">
        <f t="shared" si="18"/>
        <v>0</v>
      </c>
      <c r="AK63" s="66">
        <f t="shared" si="18"/>
        <v>0</v>
      </c>
      <c r="AL63" s="66">
        <f t="shared" si="18"/>
        <v>0</v>
      </c>
      <c r="AM63" s="66">
        <f t="shared" si="18"/>
        <v>0</v>
      </c>
      <c r="AN63" s="66">
        <f t="shared" si="18"/>
        <v>0</v>
      </c>
      <c r="AO63" s="66">
        <f t="shared" si="18"/>
        <v>0</v>
      </c>
      <c r="AU63" s="48"/>
      <c r="AV63" s="48"/>
      <c r="AW63" s="48"/>
      <c r="AX63" s="48"/>
      <c r="AY63" s="48"/>
    </row>
    <row r="64" spans="1:51">
      <c r="A64" s="1">
        <f t="shared" si="10"/>
        <v>1.4166666666666659</v>
      </c>
      <c r="B64" s="1">
        <f t="shared" si="1"/>
        <v>1.4374999999999991</v>
      </c>
      <c r="C64" s="17"/>
      <c r="D64" s="17"/>
      <c r="E64" s="18"/>
      <c r="F64" s="18"/>
      <c r="G64" s="18"/>
      <c r="H64" s="18"/>
      <c r="I64" s="18"/>
      <c r="J64" s="18"/>
      <c r="K64" s="18"/>
      <c r="L64" s="18"/>
      <c r="O64" s="24">
        <f t="shared" si="22"/>
        <v>0</v>
      </c>
      <c r="P64" s="24">
        <f t="shared" si="22"/>
        <v>0</v>
      </c>
      <c r="Q64" s="24">
        <f t="shared" si="22"/>
        <v>0</v>
      </c>
      <c r="R64" s="25">
        <f t="shared" si="22"/>
        <v>0</v>
      </c>
      <c r="S64" s="25">
        <f t="shared" si="22"/>
        <v>0</v>
      </c>
      <c r="T64" s="25">
        <f t="shared" si="22"/>
        <v>0</v>
      </c>
      <c r="U64" s="25">
        <f t="shared" si="22"/>
        <v>0</v>
      </c>
      <c r="V64" s="25">
        <f t="shared" si="22"/>
        <v>0</v>
      </c>
      <c r="W64" s="25">
        <f t="shared" si="22"/>
        <v>0</v>
      </c>
      <c r="X64" s="25">
        <f t="shared" si="22"/>
        <v>0</v>
      </c>
      <c r="Y64" s="26">
        <f t="shared" si="3"/>
        <v>0</v>
      </c>
      <c r="Z64" s="27">
        <f t="shared" si="4"/>
        <v>0</v>
      </c>
      <c r="AA64" s="27">
        <f t="shared" si="5"/>
        <v>0</v>
      </c>
      <c r="AB64" s="26">
        <f t="shared" si="6"/>
        <v>0</v>
      </c>
      <c r="AC64" s="28">
        <f t="shared" si="7"/>
        <v>0</v>
      </c>
      <c r="AG64" s="66">
        <f t="shared" si="18"/>
        <v>0</v>
      </c>
      <c r="AH64" s="66">
        <f t="shared" si="18"/>
        <v>0</v>
      </c>
      <c r="AI64" s="66">
        <f t="shared" si="18"/>
        <v>0</v>
      </c>
      <c r="AJ64" s="66">
        <f t="shared" si="18"/>
        <v>0</v>
      </c>
      <c r="AK64" s="66">
        <f t="shared" si="18"/>
        <v>0</v>
      </c>
      <c r="AL64" s="66">
        <f t="shared" si="18"/>
        <v>0</v>
      </c>
      <c r="AM64" s="66">
        <f t="shared" si="18"/>
        <v>0</v>
      </c>
      <c r="AN64" s="66">
        <f t="shared" si="18"/>
        <v>0</v>
      </c>
      <c r="AO64" s="66">
        <f t="shared" si="18"/>
        <v>0</v>
      </c>
      <c r="AU64" s="48"/>
      <c r="AV64" s="48"/>
      <c r="AW64" s="48"/>
      <c r="AX64" s="48"/>
      <c r="AY64" s="48"/>
    </row>
    <row r="65" spans="1:51" ht="15.75" thickBot="1">
      <c r="A65" s="4">
        <f t="shared" si="10"/>
        <v>1.4374999999999991</v>
      </c>
      <c r="B65" s="4">
        <f t="shared" si="1"/>
        <v>1.4583333333333324</v>
      </c>
      <c r="C65" s="19"/>
      <c r="D65" s="19"/>
      <c r="E65" s="20"/>
      <c r="F65" s="20"/>
      <c r="G65" s="20"/>
      <c r="H65" s="20"/>
      <c r="I65" s="20"/>
      <c r="J65" s="20"/>
      <c r="K65" s="20"/>
      <c r="L65" s="20"/>
      <c r="O65" s="39">
        <f t="shared" si="22"/>
        <v>0</v>
      </c>
      <c r="P65" s="39">
        <f t="shared" si="22"/>
        <v>0</v>
      </c>
      <c r="Q65" s="39">
        <f t="shared" si="22"/>
        <v>0</v>
      </c>
      <c r="R65" s="40">
        <f t="shared" si="22"/>
        <v>0</v>
      </c>
      <c r="S65" s="40">
        <f t="shared" si="22"/>
        <v>0</v>
      </c>
      <c r="T65" s="40">
        <f t="shared" si="22"/>
        <v>0</v>
      </c>
      <c r="U65" s="40">
        <f t="shared" si="22"/>
        <v>0</v>
      </c>
      <c r="V65" s="40">
        <f t="shared" si="22"/>
        <v>0</v>
      </c>
      <c r="W65" s="40">
        <f t="shared" si="22"/>
        <v>0</v>
      </c>
      <c r="X65" s="40">
        <f t="shared" si="22"/>
        <v>0</v>
      </c>
      <c r="Y65" s="41">
        <f t="shared" si="3"/>
        <v>0</v>
      </c>
      <c r="Z65" s="42">
        <f t="shared" si="4"/>
        <v>0</v>
      </c>
      <c r="AA65" s="42">
        <f t="shared" si="5"/>
        <v>0</v>
      </c>
      <c r="AB65" s="41">
        <f t="shared" si="6"/>
        <v>0</v>
      </c>
      <c r="AC65" s="43">
        <f t="shared" si="7"/>
        <v>0</v>
      </c>
      <c r="AG65" s="66">
        <f t="shared" si="18"/>
        <v>0</v>
      </c>
      <c r="AH65" s="66">
        <f t="shared" si="18"/>
        <v>0</v>
      </c>
      <c r="AI65" s="66">
        <f t="shared" si="18"/>
        <v>0</v>
      </c>
      <c r="AJ65" s="66">
        <f t="shared" si="18"/>
        <v>0</v>
      </c>
      <c r="AK65" s="66">
        <f t="shared" si="18"/>
        <v>0</v>
      </c>
      <c r="AL65" s="66">
        <f t="shared" si="18"/>
        <v>0</v>
      </c>
      <c r="AM65" s="66">
        <f t="shared" si="18"/>
        <v>0</v>
      </c>
      <c r="AN65" s="66">
        <f t="shared" si="18"/>
        <v>0</v>
      </c>
      <c r="AO65" s="66">
        <f t="shared" si="18"/>
        <v>0</v>
      </c>
      <c r="AU65" s="48"/>
      <c r="AV65" s="48"/>
      <c r="AW65" s="48"/>
      <c r="AX65" s="48"/>
      <c r="AY65" s="48"/>
    </row>
    <row r="66" spans="1:51" s="46" customFormat="1">
      <c r="AD66" s="46" t="s">
        <v>18</v>
      </c>
      <c r="AG66" s="48"/>
      <c r="AH66" s="48"/>
      <c r="AI66" s="48"/>
      <c r="AJ66" s="48"/>
      <c r="AK66" s="48"/>
      <c r="AL66" s="48"/>
      <c r="AM66" s="48"/>
      <c r="AN66" s="48"/>
      <c r="AO66" s="48"/>
    </row>
    <row r="67" spans="1:51" s="46" customFormat="1" ht="18">
      <c r="A67" s="45" t="s">
        <v>11</v>
      </c>
      <c r="AD67" s="70" t="s">
        <v>22</v>
      </c>
      <c r="AG67" s="48"/>
      <c r="AH67" s="48"/>
      <c r="AI67" s="48"/>
      <c r="AJ67" s="48"/>
      <c r="AK67" s="48"/>
      <c r="AL67" s="48"/>
      <c r="AM67" s="48"/>
      <c r="AN67" s="48"/>
      <c r="AO67" s="48"/>
    </row>
    <row r="68" spans="1:51">
      <c r="A68" s="3">
        <v>0.29166666666666674</v>
      </c>
      <c r="B68" s="3">
        <v>0.33333333333333348</v>
      </c>
      <c r="C68" s="21"/>
      <c r="D68" s="21"/>
      <c r="E68" s="22"/>
      <c r="F68" s="22"/>
      <c r="G68" s="22"/>
      <c r="H68" s="22"/>
      <c r="I68" s="22"/>
      <c r="J68" s="22"/>
      <c r="K68" s="22"/>
      <c r="L68" s="22"/>
      <c r="O68" s="34">
        <f>SUM(O10:O11)</f>
        <v>186</v>
      </c>
      <c r="P68" s="34">
        <f t="shared" ref="P68:X68" si="27">SUM(P10:P11)</f>
        <v>622</v>
      </c>
      <c r="Q68" s="34">
        <f t="shared" si="27"/>
        <v>263</v>
      </c>
      <c r="R68" s="35">
        <f t="shared" si="27"/>
        <v>56</v>
      </c>
      <c r="S68" s="35">
        <f t="shared" si="27"/>
        <v>18</v>
      </c>
      <c r="T68" s="35">
        <f t="shared" si="27"/>
        <v>4</v>
      </c>
      <c r="U68" s="35">
        <f t="shared" si="27"/>
        <v>6</v>
      </c>
      <c r="V68" s="35">
        <f t="shared" si="27"/>
        <v>26</v>
      </c>
      <c r="W68" s="35">
        <f t="shared" si="27"/>
        <v>4</v>
      </c>
      <c r="X68" s="35">
        <f t="shared" si="27"/>
        <v>0</v>
      </c>
      <c r="Y68" s="36">
        <f t="shared" ref="Y68:Y82" si="28">O68+Q68+R68</f>
        <v>505</v>
      </c>
      <c r="Z68" s="37">
        <f t="shared" ref="Z68:Z82" si="29">S68+T68+U68+P68</f>
        <v>650</v>
      </c>
      <c r="AA68" s="37">
        <f t="shared" ref="AA68:AA82" si="30">V68+W68</f>
        <v>30</v>
      </c>
      <c r="AB68" s="36">
        <f t="shared" ref="AB68:AB82" si="31">SUM(O68:W68)</f>
        <v>1185</v>
      </c>
      <c r="AC68" s="38">
        <f t="shared" ref="AC68:AC82" si="32">SUM(AG68:AO68)</f>
        <v>808</v>
      </c>
      <c r="AD68" s="50">
        <f t="shared" ref="AD68:AE83" si="33">AB68/AB$83</f>
        <v>7.2234074977141113E-2</v>
      </c>
      <c r="AE68" s="50">
        <f t="shared" si="33"/>
        <v>6.9682204303393558E-2</v>
      </c>
      <c r="AG68" s="48">
        <f>O68*O$8</f>
        <v>93</v>
      </c>
      <c r="AH68" s="48">
        <f t="shared" ref="AG68:AO82" si="34">P68*P$8</f>
        <v>311</v>
      </c>
      <c r="AI68" s="48">
        <f t="shared" si="34"/>
        <v>263</v>
      </c>
      <c r="AJ68" s="48">
        <f t="shared" si="34"/>
        <v>56</v>
      </c>
      <c r="AK68" s="48">
        <f t="shared" si="34"/>
        <v>18</v>
      </c>
      <c r="AL68" s="48">
        <f t="shared" si="34"/>
        <v>6</v>
      </c>
      <c r="AM68" s="48">
        <f t="shared" si="34"/>
        <v>12</v>
      </c>
      <c r="AN68" s="48">
        <f t="shared" si="34"/>
        <v>39</v>
      </c>
      <c r="AO68" s="48">
        <f t="shared" si="34"/>
        <v>10</v>
      </c>
      <c r="AQ68" s="50"/>
    </row>
    <row r="69" spans="1:51">
      <c r="A69" s="3">
        <v>0.33333333333333348</v>
      </c>
      <c r="B69" s="3">
        <v>0.37500000000000022</v>
      </c>
      <c r="C69" s="21"/>
      <c r="D69" s="21"/>
      <c r="E69" s="22"/>
      <c r="F69" s="22"/>
      <c r="G69" s="22"/>
      <c r="H69" s="22"/>
      <c r="I69" s="22"/>
      <c r="J69" s="22"/>
      <c r="K69" s="22"/>
      <c r="L69" s="22"/>
      <c r="O69" s="34">
        <f>SUM(O12:O13)</f>
        <v>238</v>
      </c>
      <c r="P69" s="34">
        <f t="shared" ref="P69:X69" si="35">SUM(P12:P13)</f>
        <v>522</v>
      </c>
      <c r="Q69" s="34">
        <f t="shared" si="35"/>
        <v>263</v>
      </c>
      <c r="R69" s="35">
        <f t="shared" si="35"/>
        <v>88</v>
      </c>
      <c r="S69" s="35">
        <f t="shared" si="35"/>
        <v>10</v>
      </c>
      <c r="T69" s="35">
        <f t="shared" si="35"/>
        <v>2</v>
      </c>
      <c r="U69" s="35">
        <f t="shared" si="35"/>
        <v>15</v>
      </c>
      <c r="V69" s="35">
        <f t="shared" si="35"/>
        <v>32</v>
      </c>
      <c r="W69" s="35">
        <f t="shared" si="35"/>
        <v>15</v>
      </c>
      <c r="X69" s="35">
        <f>SUM(X12:X13)</f>
        <v>0</v>
      </c>
      <c r="Y69" s="36">
        <f t="shared" si="28"/>
        <v>589</v>
      </c>
      <c r="Z69" s="37">
        <f t="shared" si="29"/>
        <v>549</v>
      </c>
      <c r="AA69" s="37">
        <f t="shared" si="30"/>
        <v>47</v>
      </c>
      <c r="AB69" s="36">
        <f t="shared" si="31"/>
        <v>1185</v>
      </c>
      <c r="AC69" s="38">
        <f t="shared" si="32"/>
        <v>859.5</v>
      </c>
      <c r="AD69" s="50">
        <f t="shared" si="33"/>
        <v>7.2234074977141113E-2</v>
      </c>
      <c r="AE69" s="50">
        <f t="shared" si="33"/>
        <v>7.4123582424216294E-2</v>
      </c>
      <c r="AG69" s="48">
        <f t="shared" si="34"/>
        <v>119</v>
      </c>
      <c r="AH69" s="48">
        <f t="shared" si="34"/>
        <v>261</v>
      </c>
      <c r="AI69" s="48">
        <f t="shared" si="34"/>
        <v>263</v>
      </c>
      <c r="AJ69" s="48">
        <f t="shared" si="34"/>
        <v>88</v>
      </c>
      <c r="AK69" s="48">
        <f t="shared" si="34"/>
        <v>10</v>
      </c>
      <c r="AL69" s="48">
        <f t="shared" si="34"/>
        <v>3</v>
      </c>
      <c r="AM69" s="48">
        <f t="shared" si="34"/>
        <v>30</v>
      </c>
      <c r="AN69" s="48">
        <f t="shared" si="34"/>
        <v>48</v>
      </c>
      <c r="AO69" s="48">
        <f t="shared" si="34"/>
        <v>37.5</v>
      </c>
      <c r="AQ69" s="50"/>
    </row>
    <row r="70" spans="1:51">
      <c r="A70" s="3">
        <v>0.37500000000000022</v>
      </c>
      <c r="B70" s="3">
        <v>0.41666666666666696</v>
      </c>
      <c r="C70" s="21"/>
      <c r="D70" s="21"/>
      <c r="E70" s="22"/>
      <c r="F70" s="22"/>
      <c r="G70" s="22"/>
      <c r="H70" s="22"/>
      <c r="I70" s="22"/>
      <c r="J70" s="22"/>
      <c r="K70" s="22"/>
      <c r="L70" s="22"/>
      <c r="O70" s="34">
        <f>SUM(O14:O15)</f>
        <v>172</v>
      </c>
      <c r="P70" s="34">
        <f t="shared" ref="P70:X70" si="36">SUM(P14:P15)</f>
        <v>439</v>
      </c>
      <c r="Q70" s="34">
        <f t="shared" si="36"/>
        <v>247</v>
      </c>
      <c r="R70" s="35">
        <f t="shared" si="36"/>
        <v>65</v>
      </c>
      <c r="S70" s="35">
        <f t="shared" si="36"/>
        <v>12</v>
      </c>
      <c r="T70" s="35">
        <f t="shared" si="36"/>
        <v>1</v>
      </c>
      <c r="U70" s="35">
        <f t="shared" si="36"/>
        <v>36</v>
      </c>
      <c r="V70" s="35">
        <f t="shared" si="36"/>
        <v>20</v>
      </c>
      <c r="W70" s="35">
        <f t="shared" si="36"/>
        <v>18</v>
      </c>
      <c r="X70" s="35">
        <f t="shared" si="36"/>
        <v>0</v>
      </c>
      <c r="Y70" s="36">
        <f t="shared" si="28"/>
        <v>484</v>
      </c>
      <c r="Z70" s="37">
        <f t="shared" si="29"/>
        <v>488</v>
      </c>
      <c r="AA70" s="37">
        <f t="shared" si="30"/>
        <v>38</v>
      </c>
      <c r="AB70" s="36">
        <f t="shared" si="31"/>
        <v>1010</v>
      </c>
      <c r="AC70" s="38">
        <f t="shared" si="32"/>
        <v>778</v>
      </c>
      <c r="AD70" s="50">
        <f t="shared" si="33"/>
        <v>6.1566595550137153E-2</v>
      </c>
      <c r="AE70" s="50">
        <f t="shared" si="33"/>
        <v>6.7094993747574494E-2</v>
      </c>
      <c r="AG70" s="48">
        <f t="shared" si="34"/>
        <v>86</v>
      </c>
      <c r="AH70" s="48">
        <f t="shared" si="34"/>
        <v>219.5</v>
      </c>
      <c r="AI70" s="48">
        <f t="shared" si="34"/>
        <v>247</v>
      </c>
      <c r="AJ70" s="48">
        <f t="shared" si="34"/>
        <v>65</v>
      </c>
      <c r="AK70" s="48">
        <f t="shared" si="34"/>
        <v>12</v>
      </c>
      <c r="AL70" s="48">
        <f t="shared" si="34"/>
        <v>1.5</v>
      </c>
      <c r="AM70" s="48">
        <f t="shared" si="34"/>
        <v>72</v>
      </c>
      <c r="AN70" s="48">
        <f t="shared" si="34"/>
        <v>30</v>
      </c>
      <c r="AO70" s="48">
        <f t="shared" si="34"/>
        <v>45</v>
      </c>
      <c r="AQ70" s="50"/>
    </row>
    <row r="71" spans="1:51">
      <c r="A71" s="3">
        <v>0.41666666666666696</v>
      </c>
      <c r="B71" s="3">
        <v>0.4583333333333337</v>
      </c>
      <c r="C71" s="21"/>
      <c r="D71" s="21"/>
      <c r="E71" s="22"/>
      <c r="F71" s="22"/>
      <c r="G71" s="22"/>
      <c r="H71" s="22"/>
      <c r="I71" s="22"/>
      <c r="J71" s="22"/>
      <c r="K71" s="22"/>
      <c r="L71" s="22"/>
      <c r="O71" s="34">
        <f>SUM(O16:O17)</f>
        <v>143</v>
      </c>
      <c r="P71" s="34">
        <f t="shared" ref="P71:X71" si="37">SUM(P16:P17)</f>
        <v>447</v>
      </c>
      <c r="Q71" s="34">
        <f t="shared" si="37"/>
        <v>239</v>
      </c>
      <c r="R71" s="35">
        <f t="shared" si="37"/>
        <v>67</v>
      </c>
      <c r="S71" s="35">
        <f t="shared" si="37"/>
        <v>10</v>
      </c>
      <c r="T71" s="35">
        <f t="shared" si="37"/>
        <v>1</v>
      </c>
      <c r="U71" s="35">
        <f t="shared" si="37"/>
        <v>38</v>
      </c>
      <c r="V71" s="35">
        <f t="shared" si="37"/>
        <v>18</v>
      </c>
      <c r="W71" s="35">
        <f t="shared" si="37"/>
        <v>9</v>
      </c>
      <c r="X71" s="35">
        <f t="shared" si="37"/>
        <v>0</v>
      </c>
      <c r="Y71" s="36">
        <f t="shared" si="28"/>
        <v>449</v>
      </c>
      <c r="Z71" s="37">
        <f t="shared" si="29"/>
        <v>496</v>
      </c>
      <c r="AA71" s="37">
        <f t="shared" si="30"/>
        <v>27</v>
      </c>
      <c r="AB71" s="36">
        <f t="shared" si="31"/>
        <v>972</v>
      </c>
      <c r="AC71" s="38">
        <f t="shared" si="32"/>
        <v>738</v>
      </c>
      <c r="AD71" s="50">
        <f t="shared" si="33"/>
        <v>5.9250228588844864E-2</v>
      </c>
      <c r="AE71" s="50">
        <f t="shared" si="33"/>
        <v>6.3645379673149066E-2</v>
      </c>
      <c r="AG71" s="48">
        <f t="shared" si="34"/>
        <v>71.5</v>
      </c>
      <c r="AH71" s="48">
        <f t="shared" si="34"/>
        <v>223.5</v>
      </c>
      <c r="AI71" s="48">
        <f t="shared" si="34"/>
        <v>239</v>
      </c>
      <c r="AJ71" s="48">
        <f t="shared" si="34"/>
        <v>67</v>
      </c>
      <c r="AK71" s="48">
        <f t="shared" si="34"/>
        <v>10</v>
      </c>
      <c r="AL71" s="48">
        <f t="shared" si="34"/>
        <v>1.5</v>
      </c>
      <c r="AM71" s="48">
        <f t="shared" si="34"/>
        <v>76</v>
      </c>
      <c r="AN71" s="48">
        <f t="shared" si="34"/>
        <v>27</v>
      </c>
      <c r="AO71" s="48">
        <f t="shared" si="34"/>
        <v>22.5</v>
      </c>
      <c r="AQ71" s="50"/>
    </row>
    <row r="72" spans="1:51">
      <c r="A72" s="3">
        <v>0.4583333333333337</v>
      </c>
      <c r="B72" s="3">
        <v>0.50000000000000044</v>
      </c>
      <c r="C72" s="21"/>
      <c r="D72" s="21"/>
      <c r="E72" s="22"/>
      <c r="F72" s="22"/>
      <c r="G72" s="22"/>
      <c r="H72" s="22"/>
      <c r="I72" s="22"/>
      <c r="J72" s="22"/>
      <c r="K72" s="22"/>
      <c r="L72" s="22"/>
      <c r="O72" s="34">
        <f>SUM(O18:O19)</f>
        <v>171</v>
      </c>
      <c r="P72" s="34">
        <f t="shared" ref="P72:X72" si="38">SUM(P18:P19)</f>
        <v>532</v>
      </c>
      <c r="Q72" s="34">
        <f t="shared" si="38"/>
        <v>259</v>
      </c>
      <c r="R72" s="35">
        <f t="shared" si="38"/>
        <v>69</v>
      </c>
      <c r="S72" s="35">
        <f t="shared" si="38"/>
        <v>6</v>
      </c>
      <c r="T72" s="35">
        <f t="shared" si="38"/>
        <v>0</v>
      </c>
      <c r="U72" s="35">
        <f t="shared" si="38"/>
        <v>22</v>
      </c>
      <c r="V72" s="35">
        <f t="shared" si="38"/>
        <v>27</v>
      </c>
      <c r="W72" s="35">
        <f t="shared" si="38"/>
        <v>15</v>
      </c>
      <c r="X72" s="35">
        <f t="shared" si="38"/>
        <v>0</v>
      </c>
      <c r="Y72" s="36">
        <f t="shared" si="28"/>
        <v>499</v>
      </c>
      <c r="Z72" s="37">
        <f t="shared" si="29"/>
        <v>560</v>
      </c>
      <c r="AA72" s="37">
        <f t="shared" si="30"/>
        <v>42</v>
      </c>
      <c r="AB72" s="36">
        <f t="shared" si="31"/>
        <v>1101</v>
      </c>
      <c r="AC72" s="38">
        <f t="shared" si="32"/>
        <v>807.5</v>
      </c>
      <c r="AD72" s="50">
        <f t="shared" si="33"/>
        <v>6.7113684852179209E-2</v>
      </c>
      <c r="AE72" s="50">
        <f t="shared" si="33"/>
        <v>6.9639084127463238E-2</v>
      </c>
      <c r="AG72" s="48">
        <f t="shared" si="34"/>
        <v>85.5</v>
      </c>
      <c r="AH72" s="48">
        <f t="shared" si="34"/>
        <v>266</v>
      </c>
      <c r="AI72" s="48">
        <f t="shared" si="34"/>
        <v>259</v>
      </c>
      <c r="AJ72" s="48">
        <f t="shared" si="34"/>
        <v>69</v>
      </c>
      <c r="AK72" s="48">
        <f t="shared" si="34"/>
        <v>6</v>
      </c>
      <c r="AL72" s="48">
        <f t="shared" si="34"/>
        <v>0</v>
      </c>
      <c r="AM72" s="48">
        <f t="shared" si="34"/>
        <v>44</v>
      </c>
      <c r="AN72" s="48">
        <f t="shared" si="34"/>
        <v>40.5</v>
      </c>
      <c r="AO72" s="48">
        <f t="shared" si="34"/>
        <v>37.5</v>
      </c>
      <c r="AQ72" s="50"/>
    </row>
    <row r="73" spans="1:51">
      <c r="A73" s="3">
        <v>0.50000000000000044</v>
      </c>
      <c r="B73" s="3">
        <v>0.54166666666666696</v>
      </c>
      <c r="C73" s="21"/>
      <c r="D73" s="21"/>
      <c r="E73" s="22"/>
      <c r="F73" s="22"/>
      <c r="G73" s="22"/>
      <c r="H73" s="22"/>
      <c r="I73" s="22"/>
      <c r="J73" s="22"/>
      <c r="K73" s="22"/>
      <c r="L73" s="22"/>
      <c r="O73" s="34">
        <f>SUM(O20:O21)</f>
        <v>207</v>
      </c>
      <c r="P73" s="34">
        <f t="shared" ref="P73:X73" si="39">SUM(P20:P21)</f>
        <v>513</v>
      </c>
      <c r="Q73" s="34">
        <f t="shared" si="39"/>
        <v>238</v>
      </c>
      <c r="R73" s="35">
        <f t="shared" si="39"/>
        <v>71</v>
      </c>
      <c r="S73" s="35">
        <f t="shared" si="39"/>
        <v>7</v>
      </c>
      <c r="T73" s="35">
        <f t="shared" si="39"/>
        <v>5</v>
      </c>
      <c r="U73" s="35">
        <f t="shared" si="39"/>
        <v>13</v>
      </c>
      <c r="V73" s="35">
        <f t="shared" si="39"/>
        <v>28</v>
      </c>
      <c r="W73" s="35">
        <f t="shared" si="39"/>
        <v>11</v>
      </c>
      <c r="X73" s="35">
        <f t="shared" si="39"/>
        <v>0</v>
      </c>
      <c r="Y73" s="36">
        <f t="shared" si="28"/>
        <v>516</v>
      </c>
      <c r="Z73" s="37">
        <f t="shared" si="29"/>
        <v>538</v>
      </c>
      <c r="AA73" s="37">
        <f t="shared" si="30"/>
        <v>39</v>
      </c>
      <c r="AB73" s="36">
        <f t="shared" si="31"/>
        <v>1093</v>
      </c>
      <c r="AC73" s="38">
        <f t="shared" si="32"/>
        <v>779</v>
      </c>
      <c r="AD73" s="50">
        <f t="shared" si="33"/>
        <v>6.6626028649801883E-2</v>
      </c>
      <c r="AE73" s="50">
        <f t="shared" si="33"/>
        <v>6.7181234099435119E-2</v>
      </c>
      <c r="AG73" s="48">
        <f t="shared" si="34"/>
        <v>103.5</v>
      </c>
      <c r="AH73" s="48">
        <f t="shared" si="34"/>
        <v>256.5</v>
      </c>
      <c r="AI73" s="48">
        <f t="shared" si="34"/>
        <v>238</v>
      </c>
      <c r="AJ73" s="48">
        <f t="shared" si="34"/>
        <v>71</v>
      </c>
      <c r="AK73" s="48">
        <f t="shared" si="34"/>
        <v>7</v>
      </c>
      <c r="AL73" s="48">
        <f t="shared" si="34"/>
        <v>7.5</v>
      </c>
      <c r="AM73" s="48">
        <f t="shared" si="34"/>
        <v>26</v>
      </c>
      <c r="AN73" s="48">
        <f t="shared" si="34"/>
        <v>42</v>
      </c>
      <c r="AO73" s="48">
        <f t="shared" si="34"/>
        <v>27.5</v>
      </c>
      <c r="AQ73" s="50"/>
    </row>
    <row r="74" spans="1:51">
      <c r="A74" s="3">
        <v>0.54166666666666696</v>
      </c>
      <c r="B74" s="3">
        <v>0.58333333333333348</v>
      </c>
      <c r="C74" s="21"/>
      <c r="D74" s="21"/>
      <c r="E74" s="22"/>
      <c r="F74" s="22"/>
      <c r="G74" s="22"/>
      <c r="H74" s="22"/>
      <c r="I74" s="22"/>
      <c r="J74" s="22"/>
      <c r="K74" s="22"/>
      <c r="L74" s="22"/>
      <c r="O74" s="34">
        <f>SUM(O22:O23)</f>
        <v>136</v>
      </c>
      <c r="P74" s="34">
        <f t="shared" ref="P74:X74" si="40">SUM(P22:P23)</f>
        <v>481</v>
      </c>
      <c r="Q74" s="34">
        <f>SUM(Q22:Q23)</f>
        <v>207</v>
      </c>
      <c r="R74" s="35">
        <f t="shared" si="40"/>
        <v>59</v>
      </c>
      <c r="S74" s="35">
        <f t="shared" si="40"/>
        <v>13</v>
      </c>
      <c r="T74" s="35">
        <f t="shared" si="40"/>
        <v>1</v>
      </c>
      <c r="U74" s="35">
        <f t="shared" si="40"/>
        <v>28</v>
      </c>
      <c r="V74" s="35">
        <f t="shared" si="40"/>
        <v>28</v>
      </c>
      <c r="W74" s="35">
        <f t="shared" si="40"/>
        <v>6</v>
      </c>
      <c r="X74" s="35">
        <f t="shared" si="40"/>
        <v>0</v>
      </c>
      <c r="Y74" s="36">
        <f t="shared" si="28"/>
        <v>402</v>
      </c>
      <c r="Z74" s="37">
        <f t="shared" si="29"/>
        <v>523</v>
      </c>
      <c r="AA74" s="37">
        <f t="shared" si="30"/>
        <v>34</v>
      </c>
      <c r="AB74" s="36">
        <f t="shared" si="31"/>
        <v>959</v>
      </c>
      <c r="AC74" s="38">
        <f t="shared" si="32"/>
        <v>702</v>
      </c>
      <c r="AD74" s="50">
        <f t="shared" si="33"/>
        <v>5.8457787259981714E-2</v>
      </c>
      <c r="AE74" s="50">
        <f t="shared" si="33"/>
        <v>6.0540727006166188E-2</v>
      </c>
      <c r="AG74" s="48">
        <f t="shared" si="34"/>
        <v>68</v>
      </c>
      <c r="AH74" s="48">
        <f t="shared" si="34"/>
        <v>240.5</v>
      </c>
      <c r="AI74" s="48">
        <f t="shared" si="34"/>
        <v>207</v>
      </c>
      <c r="AJ74" s="48">
        <f t="shared" si="34"/>
        <v>59</v>
      </c>
      <c r="AK74" s="48">
        <f t="shared" si="34"/>
        <v>13</v>
      </c>
      <c r="AL74" s="48">
        <f t="shared" si="34"/>
        <v>1.5</v>
      </c>
      <c r="AM74" s="48">
        <f t="shared" si="34"/>
        <v>56</v>
      </c>
      <c r="AN74" s="48">
        <f t="shared" si="34"/>
        <v>42</v>
      </c>
      <c r="AO74" s="48">
        <f t="shared" si="34"/>
        <v>15</v>
      </c>
      <c r="AQ74" s="50"/>
    </row>
    <row r="75" spans="1:51">
      <c r="A75" s="3">
        <v>0.58333333333333348</v>
      </c>
      <c r="B75" s="3">
        <v>0.625</v>
      </c>
      <c r="C75" s="21"/>
      <c r="D75" s="21"/>
      <c r="E75" s="22"/>
      <c r="F75" s="22"/>
      <c r="G75" s="22"/>
      <c r="H75" s="22"/>
      <c r="I75" s="22"/>
      <c r="J75" s="22"/>
      <c r="K75" s="22"/>
      <c r="L75" s="22"/>
      <c r="O75" s="34">
        <f>SUM(O24:O25)</f>
        <v>131</v>
      </c>
      <c r="P75" s="34">
        <f t="shared" ref="P75:X75" si="41">SUM(P24:P25)</f>
        <v>488</v>
      </c>
      <c r="Q75" s="34">
        <f t="shared" si="41"/>
        <v>218</v>
      </c>
      <c r="R75" s="35">
        <f t="shared" si="41"/>
        <v>62</v>
      </c>
      <c r="S75" s="35">
        <f t="shared" si="41"/>
        <v>10</v>
      </c>
      <c r="T75" s="35">
        <f t="shared" si="41"/>
        <v>0</v>
      </c>
      <c r="U75" s="35">
        <f t="shared" si="41"/>
        <v>45</v>
      </c>
      <c r="V75" s="35">
        <f t="shared" si="41"/>
        <v>16</v>
      </c>
      <c r="W75" s="35">
        <f t="shared" si="41"/>
        <v>17</v>
      </c>
      <c r="X75" s="35">
        <f t="shared" si="41"/>
        <v>0</v>
      </c>
      <c r="Y75" s="36">
        <f t="shared" si="28"/>
        <v>411</v>
      </c>
      <c r="Z75" s="37">
        <f t="shared" si="29"/>
        <v>543</v>
      </c>
      <c r="AA75" s="37">
        <f t="shared" si="30"/>
        <v>33</v>
      </c>
      <c r="AB75" s="36">
        <f t="shared" si="31"/>
        <v>987</v>
      </c>
      <c r="AC75" s="38">
        <f t="shared" si="32"/>
        <v>756</v>
      </c>
      <c r="AD75" s="50">
        <f t="shared" si="33"/>
        <v>6.0164583968302349E-2</v>
      </c>
      <c r="AE75" s="50">
        <f t="shared" si="33"/>
        <v>6.5197706006640502E-2</v>
      </c>
      <c r="AG75" s="48">
        <f t="shared" si="34"/>
        <v>65.5</v>
      </c>
      <c r="AH75" s="48">
        <f t="shared" si="34"/>
        <v>244</v>
      </c>
      <c r="AI75" s="48">
        <f t="shared" si="34"/>
        <v>218</v>
      </c>
      <c r="AJ75" s="48">
        <f t="shared" si="34"/>
        <v>62</v>
      </c>
      <c r="AK75" s="48">
        <f t="shared" si="34"/>
        <v>10</v>
      </c>
      <c r="AL75" s="48">
        <f t="shared" si="34"/>
        <v>0</v>
      </c>
      <c r="AM75" s="48">
        <f t="shared" si="34"/>
        <v>90</v>
      </c>
      <c r="AN75" s="48">
        <f t="shared" si="34"/>
        <v>24</v>
      </c>
      <c r="AO75" s="48">
        <f t="shared" si="34"/>
        <v>42.5</v>
      </c>
      <c r="AQ75" s="50"/>
    </row>
    <row r="76" spans="1:51" s="48" customFormat="1">
      <c r="A76" s="3">
        <v>0.625</v>
      </c>
      <c r="B76" s="3">
        <v>0.66666666666666652</v>
      </c>
      <c r="C76" s="21"/>
      <c r="D76" s="21"/>
      <c r="E76" s="22"/>
      <c r="F76" s="22"/>
      <c r="G76" s="22"/>
      <c r="H76" s="22"/>
      <c r="I76" s="22"/>
      <c r="J76" s="22"/>
      <c r="K76" s="22"/>
      <c r="L76" s="22"/>
      <c r="O76" s="34">
        <f>SUM(O26:O27)</f>
        <v>109</v>
      </c>
      <c r="P76" s="34">
        <f t="shared" ref="P76:X76" si="42">SUM(P26:P27)</f>
        <v>487</v>
      </c>
      <c r="Q76" s="34">
        <f t="shared" si="42"/>
        <v>270</v>
      </c>
      <c r="R76" s="35">
        <f t="shared" si="42"/>
        <v>65</v>
      </c>
      <c r="S76" s="35">
        <f t="shared" si="42"/>
        <v>10</v>
      </c>
      <c r="T76" s="35">
        <f t="shared" si="42"/>
        <v>0</v>
      </c>
      <c r="U76" s="35">
        <f t="shared" si="42"/>
        <v>38</v>
      </c>
      <c r="V76" s="35">
        <f t="shared" si="42"/>
        <v>22</v>
      </c>
      <c r="W76" s="35">
        <f t="shared" si="42"/>
        <v>10</v>
      </c>
      <c r="X76" s="35">
        <f t="shared" si="42"/>
        <v>0</v>
      </c>
      <c r="Y76" s="36">
        <f t="shared" si="28"/>
        <v>444</v>
      </c>
      <c r="Z76" s="37">
        <f t="shared" si="29"/>
        <v>535</v>
      </c>
      <c r="AA76" s="37">
        <f t="shared" si="30"/>
        <v>32</v>
      </c>
      <c r="AB76" s="36">
        <f t="shared" si="31"/>
        <v>1011</v>
      </c>
      <c r="AC76" s="38">
        <f t="shared" si="32"/>
        <v>777</v>
      </c>
      <c r="AD76" s="50">
        <f t="shared" si="33"/>
        <v>6.162755257543432E-2</v>
      </c>
      <c r="AE76" s="50">
        <f t="shared" si="33"/>
        <v>6.7008753395713855E-2</v>
      </c>
      <c r="AG76" s="48">
        <f t="shared" si="34"/>
        <v>54.5</v>
      </c>
      <c r="AH76" s="48">
        <f t="shared" si="34"/>
        <v>243.5</v>
      </c>
      <c r="AI76" s="48">
        <f t="shared" si="34"/>
        <v>270</v>
      </c>
      <c r="AJ76" s="48">
        <f t="shared" si="34"/>
        <v>65</v>
      </c>
      <c r="AK76" s="48">
        <f t="shared" si="34"/>
        <v>10</v>
      </c>
      <c r="AL76" s="48">
        <f t="shared" si="34"/>
        <v>0</v>
      </c>
      <c r="AM76" s="48">
        <f t="shared" si="34"/>
        <v>76</v>
      </c>
      <c r="AN76" s="48">
        <f t="shared" si="34"/>
        <v>33</v>
      </c>
      <c r="AO76" s="48">
        <f t="shared" si="34"/>
        <v>25</v>
      </c>
      <c r="AQ76" s="50"/>
      <c r="AU76" s="5"/>
      <c r="AV76" s="5"/>
      <c r="AW76" s="5"/>
      <c r="AX76" s="5"/>
      <c r="AY76" s="5"/>
    </row>
    <row r="77" spans="1:51" s="48" customFormat="1">
      <c r="A77" s="3">
        <v>0.66666666666666652</v>
      </c>
      <c r="B77" s="3">
        <v>0.70833333333333304</v>
      </c>
      <c r="C77" s="21"/>
      <c r="D77" s="21"/>
      <c r="E77" s="22"/>
      <c r="F77" s="22"/>
      <c r="G77" s="22"/>
      <c r="H77" s="22"/>
      <c r="I77" s="22"/>
      <c r="J77" s="22"/>
      <c r="K77" s="22"/>
      <c r="L77" s="22"/>
      <c r="O77" s="34">
        <f>SUM(O28:O29)</f>
        <v>116</v>
      </c>
      <c r="P77" s="34">
        <f t="shared" ref="P77:X77" si="43">SUM(P28:P29)</f>
        <v>563</v>
      </c>
      <c r="Q77" s="34">
        <f t="shared" si="43"/>
        <v>247</v>
      </c>
      <c r="R77" s="35">
        <f t="shared" si="43"/>
        <v>69</v>
      </c>
      <c r="S77" s="35">
        <f t="shared" si="43"/>
        <v>17</v>
      </c>
      <c r="T77" s="35">
        <f t="shared" si="43"/>
        <v>1</v>
      </c>
      <c r="U77" s="35">
        <f t="shared" si="43"/>
        <v>20</v>
      </c>
      <c r="V77" s="35">
        <f t="shared" si="43"/>
        <v>22</v>
      </c>
      <c r="W77" s="35">
        <f t="shared" si="43"/>
        <v>18</v>
      </c>
      <c r="X77" s="35">
        <f t="shared" si="43"/>
        <v>0</v>
      </c>
      <c r="Y77" s="36">
        <f t="shared" si="28"/>
        <v>432</v>
      </c>
      <c r="Z77" s="37">
        <f t="shared" si="29"/>
        <v>601</v>
      </c>
      <c r="AA77" s="37">
        <f t="shared" si="30"/>
        <v>40</v>
      </c>
      <c r="AB77" s="36">
        <f t="shared" si="31"/>
        <v>1073</v>
      </c>
      <c r="AC77" s="38">
        <f t="shared" si="32"/>
        <v>792</v>
      </c>
      <c r="AD77" s="50">
        <f t="shared" si="33"/>
        <v>6.5406888143858574E-2</v>
      </c>
      <c r="AE77" s="50">
        <f t="shared" si="33"/>
        <v>6.8302358673623387E-2</v>
      </c>
      <c r="AG77" s="48">
        <f t="shared" si="34"/>
        <v>58</v>
      </c>
      <c r="AH77" s="48">
        <f t="shared" si="34"/>
        <v>281.5</v>
      </c>
      <c r="AI77" s="48">
        <f t="shared" si="34"/>
        <v>247</v>
      </c>
      <c r="AJ77" s="48">
        <f t="shared" si="34"/>
        <v>69</v>
      </c>
      <c r="AK77" s="48">
        <f t="shared" si="34"/>
        <v>17</v>
      </c>
      <c r="AL77" s="48">
        <f t="shared" si="34"/>
        <v>1.5</v>
      </c>
      <c r="AM77" s="48">
        <f t="shared" si="34"/>
        <v>40</v>
      </c>
      <c r="AN77" s="48">
        <f t="shared" si="34"/>
        <v>33</v>
      </c>
      <c r="AO77" s="48">
        <f t="shared" si="34"/>
        <v>45</v>
      </c>
      <c r="AQ77" s="50"/>
      <c r="AU77" s="5"/>
      <c r="AV77" s="5"/>
      <c r="AW77" s="5"/>
      <c r="AX77" s="5"/>
      <c r="AY77" s="5"/>
    </row>
    <row r="78" spans="1:51" s="48" customFormat="1">
      <c r="A78" s="3">
        <v>0.70833333333333304</v>
      </c>
      <c r="B78" s="3">
        <v>0.74999999999999956</v>
      </c>
      <c r="C78" s="21"/>
      <c r="D78" s="21"/>
      <c r="E78" s="22"/>
      <c r="F78" s="22"/>
      <c r="G78" s="22"/>
      <c r="H78" s="22"/>
      <c r="I78" s="22"/>
      <c r="J78" s="22"/>
      <c r="K78" s="22"/>
      <c r="L78" s="22"/>
      <c r="O78" s="34">
        <f>SUM(O30:O31)</f>
        <v>240</v>
      </c>
      <c r="P78" s="34">
        <f t="shared" ref="P78:X78" si="44">SUM(P30:P31)</f>
        <v>1206</v>
      </c>
      <c r="Q78" s="34">
        <f t="shared" si="44"/>
        <v>365</v>
      </c>
      <c r="R78" s="35">
        <f t="shared" si="44"/>
        <v>86</v>
      </c>
      <c r="S78" s="35">
        <f t="shared" si="44"/>
        <v>10</v>
      </c>
      <c r="T78" s="35">
        <f t="shared" si="44"/>
        <v>0</v>
      </c>
      <c r="U78" s="35">
        <f t="shared" si="44"/>
        <v>21</v>
      </c>
      <c r="V78" s="35">
        <f t="shared" si="44"/>
        <v>23</v>
      </c>
      <c r="W78" s="35">
        <f t="shared" si="44"/>
        <v>16</v>
      </c>
      <c r="X78" s="35">
        <f t="shared" si="44"/>
        <v>0</v>
      </c>
      <c r="Y78" s="36">
        <f t="shared" si="28"/>
        <v>691</v>
      </c>
      <c r="Z78" s="37">
        <f t="shared" si="29"/>
        <v>1237</v>
      </c>
      <c r="AA78" s="37">
        <f t="shared" si="30"/>
        <v>39</v>
      </c>
      <c r="AB78" s="36">
        <f t="shared" si="31"/>
        <v>1967</v>
      </c>
      <c r="AC78" s="38">
        <f t="shared" si="32"/>
        <v>1300.5</v>
      </c>
      <c r="AD78" s="50">
        <f t="shared" si="33"/>
        <v>0.11990246875952454</v>
      </c>
      <c r="AE78" s="50">
        <f t="shared" si="33"/>
        <v>0.11215557759475658</v>
      </c>
      <c r="AG78" s="48">
        <f t="shared" si="34"/>
        <v>120</v>
      </c>
      <c r="AH78" s="48">
        <f t="shared" si="34"/>
        <v>603</v>
      </c>
      <c r="AI78" s="48">
        <f t="shared" si="34"/>
        <v>365</v>
      </c>
      <c r="AJ78" s="48">
        <f t="shared" si="34"/>
        <v>86</v>
      </c>
      <c r="AK78" s="48">
        <f t="shared" si="34"/>
        <v>10</v>
      </c>
      <c r="AL78" s="48">
        <f t="shared" si="34"/>
        <v>0</v>
      </c>
      <c r="AM78" s="48">
        <f t="shared" si="34"/>
        <v>42</v>
      </c>
      <c r="AN78" s="48">
        <f t="shared" si="34"/>
        <v>34.5</v>
      </c>
      <c r="AO78" s="48">
        <f t="shared" si="34"/>
        <v>40</v>
      </c>
      <c r="AQ78" s="50"/>
      <c r="AU78" s="5"/>
      <c r="AV78" s="5"/>
      <c r="AW78" s="5"/>
      <c r="AX78" s="5"/>
      <c r="AY78" s="5"/>
    </row>
    <row r="79" spans="1:51" s="48" customFormat="1">
      <c r="A79" s="3">
        <v>0.74999999999999956</v>
      </c>
      <c r="B79" s="3">
        <v>0.79166666666666607</v>
      </c>
      <c r="C79" s="21"/>
      <c r="D79" s="21"/>
      <c r="E79" s="22"/>
      <c r="F79" s="22"/>
      <c r="G79" s="22"/>
      <c r="H79" s="22"/>
      <c r="I79" s="22"/>
      <c r="J79" s="22"/>
      <c r="K79" s="22"/>
      <c r="L79" s="22"/>
      <c r="O79" s="34">
        <f>SUM(O32:O33)</f>
        <v>197</v>
      </c>
      <c r="P79" s="34">
        <f t="shared" ref="P79:X79" si="45">SUM(P32:P33)</f>
        <v>1023</v>
      </c>
      <c r="Q79" s="34">
        <f t="shared" si="45"/>
        <v>296</v>
      </c>
      <c r="R79" s="35">
        <f t="shared" si="45"/>
        <v>78</v>
      </c>
      <c r="S79" s="35">
        <f t="shared" si="45"/>
        <v>10</v>
      </c>
      <c r="T79" s="35">
        <f t="shared" si="45"/>
        <v>0</v>
      </c>
      <c r="U79" s="35">
        <f t="shared" si="45"/>
        <v>5</v>
      </c>
      <c r="V79" s="35">
        <f t="shared" si="45"/>
        <v>31</v>
      </c>
      <c r="W79" s="35">
        <f t="shared" si="45"/>
        <v>5</v>
      </c>
      <c r="X79" s="35">
        <f t="shared" si="45"/>
        <v>0</v>
      </c>
      <c r="Y79" s="36">
        <f t="shared" si="28"/>
        <v>571</v>
      </c>
      <c r="Z79" s="37">
        <f t="shared" si="29"/>
        <v>1038</v>
      </c>
      <c r="AA79" s="37">
        <f t="shared" si="30"/>
        <v>36</v>
      </c>
      <c r="AB79" s="36">
        <f t="shared" si="31"/>
        <v>1645</v>
      </c>
      <c r="AC79" s="38">
        <f t="shared" si="32"/>
        <v>1063</v>
      </c>
      <c r="AD79" s="50">
        <f t="shared" si="33"/>
        <v>0.10027430661383724</v>
      </c>
      <c r="AE79" s="50">
        <f t="shared" si="33"/>
        <v>9.1673494027855629E-2</v>
      </c>
      <c r="AG79" s="48">
        <f t="shared" si="34"/>
        <v>98.5</v>
      </c>
      <c r="AH79" s="48">
        <f t="shared" si="34"/>
        <v>511.5</v>
      </c>
      <c r="AI79" s="48">
        <f t="shared" si="34"/>
        <v>296</v>
      </c>
      <c r="AJ79" s="48">
        <f t="shared" si="34"/>
        <v>78</v>
      </c>
      <c r="AK79" s="48">
        <f t="shared" si="34"/>
        <v>10</v>
      </c>
      <c r="AL79" s="48">
        <f t="shared" si="34"/>
        <v>0</v>
      </c>
      <c r="AM79" s="48">
        <f t="shared" si="34"/>
        <v>10</v>
      </c>
      <c r="AN79" s="48">
        <f t="shared" si="34"/>
        <v>46.5</v>
      </c>
      <c r="AO79" s="48">
        <f t="shared" si="34"/>
        <v>12.5</v>
      </c>
      <c r="AQ79" s="50"/>
      <c r="AU79" s="5"/>
      <c r="AV79" s="5"/>
      <c r="AW79" s="5"/>
      <c r="AX79" s="5"/>
      <c r="AY79" s="5"/>
    </row>
    <row r="80" spans="1:51" s="48" customFormat="1">
      <c r="A80" s="3">
        <v>0.79166666666666607</v>
      </c>
      <c r="B80" s="3">
        <v>0.83333333333333259</v>
      </c>
      <c r="C80" s="21"/>
      <c r="D80" s="21"/>
      <c r="E80" s="22"/>
      <c r="F80" s="22"/>
      <c r="G80" s="22"/>
      <c r="H80" s="22"/>
      <c r="I80" s="22"/>
      <c r="J80" s="22"/>
      <c r="K80" s="22"/>
      <c r="L80" s="22"/>
      <c r="O80" s="34">
        <f>SUM(O34:O35)</f>
        <v>165</v>
      </c>
      <c r="P80" s="34">
        <f t="shared" ref="P80:X80" si="46">SUM(P34:P35)</f>
        <v>759</v>
      </c>
      <c r="Q80" s="34">
        <f t="shared" si="46"/>
        <v>230</v>
      </c>
      <c r="R80" s="35">
        <f t="shared" si="46"/>
        <v>64</v>
      </c>
      <c r="S80" s="35">
        <f t="shared" si="46"/>
        <v>8</v>
      </c>
      <c r="T80" s="35">
        <f t="shared" si="46"/>
        <v>1</v>
      </c>
      <c r="U80" s="35">
        <f t="shared" si="46"/>
        <v>12</v>
      </c>
      <c r="V80" s="35">
        <f t="shared" si="46"/>
        <v>12</v>
      </c>
      <c r="W80" s="35">
        <f t="shared" si="46"/>
        <v>8</v>
      </c>
      <c r="X80" s="35">
        <f t="shared" si="46"/>
        <v>0</v>
      </c>
      <c r="Y80" s="36">
        <f t="shared" si="28"/>
        <v>459</v>
      </c>
      <c r="Z80" s="37">
        <f t="shared" si="29"/>
        <v>780</v>
      </c>
      <c r="AA80" s="37">
        <f t="shared" si="30"/>
        <v>20</v>
      </c>
      <c r="AB80" s="36">
        <f t="shared" si="31"/>
        <v>1259</v>
      </c>
      <c r="AC80" s="38">
        <f t="shared" si="32"/>
        <v>827.5</v>
      </c>
      <c r="AD80" s="50">
        <f t="shared" si="33"/>
        <v>7.6744894849131357E-2</v>
      </c>
      <c r="AE80" s="50">
        <f t="shared" si="33"/>
        <v>7.1363891164675952E-2</v>
      </c>
      <c r="AG80" s="48">
        <f t="shared" si="34"/>
        <v>82.5</v>
      </c>
      <c r="AH80" s="48">
        <f t="shared" si="34"/>
        <v>379.5</v>
      </c>
      <c r="AI80" s="48">
        <f t="shared" si="34"/>
        <v>230</v>
      </c>
      <c r="AJ80" s="48">
        <f t="shared" si="34"/>
        <v>64</v>
      </c>
      <c r="AK80" s="48">
        <f t="shared" si="34"/>
        <v>8</v>
      </c>
      <c r="AL80" s="48">
        <f t="shared" si="34"/>
        <v>1.5</v>
      </c>
      <c r="AM80" s="48">
        <f t="shared" si="34"/>
        <v>24</v>
      </c>
      <c r="AN80" s="48">
        <f t="shared" si="34"/>
        <v>18</v>
      </c>
      <c r="AO80" s="48">
        <f t="shared" si="34"/>
        <v>20</v>
      </c>
      <c r="AQ80" s="50"/>
      <c r="AU80" s="5"/>
      <c r="AV80" s="5"/>
      <c r="AW80" s="5"/>
      <c r="AX80" s="5"/>
      <c r="AY80" s="5"/>
    </row>
    <row r="81" spans="1:51" s="48" customFormat="1">
      <c r="A81" s="3">
        <v>0.83333333333333259</v>
      </c>
      <c r="B81" s="3">
        <v>0.87499999999999911</v>
      </c>
      <c r="C81" s="21"/>
      <c r="D81" s="21"/>
      <c r="E81" s="22"/>
      <c r="F81" s="22"/>
      <c r="G81" s="22"/>
      <c r="H81" s="22"/>
      <c r="I81" s="22"/>
      <c r="J81" s="22"/>
      <c r="K81" s="22"/>
      <c r="L81" s="22"/>
      <c r="O81" s="34">
        <f>SUM(O36:O37)</f>
        <v>93</v>
      </c>
      <c r="P81" s="34">
        <f t="shared" ref="P81:X81" si="47">SUM(P36:P37)</f>
        <v>654</v>
      </c>
      <c r="Q81" s="34">
        <f t="shared" si="47"/>
        <v>147</v>
      </c>
      <c r="R81" s="35">
        <f t="shared" si="47"/>
        <v>30</v>
      </c>
      <c r="S81" s="35">
        <f t="shared" si="47"/>
        <v>7</v>
      </c>
      <c r="T81" s="35">
        <f t="shared" si="47"/>
        <v>0</v>
      </c>
      <c r="U81" s="35">
        <f t="shared" si="47"/>
        <v>7</v>
      </c>
      <c r="V81" s="35">
        <f t="shared" si="47"/>
        <v>14</v>
      </c>
      <c r="W81" s="35">
        <f t="shared" si="47"/>
        <v>6</v>
      </c>
      <c r="X81" s="35">
        <f t="shared" si="47"/>
        <v>0</v>
      </c>
      <c r="Y81" s="36">
        <f t="shared" si="28"/>
        <v>270</v>
      </c>
      <c r="Z81" s="37">
        <f t="shared" si="29"/>
        <v>668</v>
      </c>
      <c r="AA81" s="37">
        <f t="shared" si="30"/>
        <v>20</v>
      </c>
      <c r="AB81" s="36">
        <f t="shared" si="31"/>
        <v>958</v>
      </c>
      <c r="AC81" s="38">
        <f t="shared" si="32"/>
        <v>607.5</v>
      </c>
      <c r="AD81" s="50">
        <f t="shared" si="33"/>
        <v>5.8396830234684546E-2</v>
      </c>
      <c r="AE81" s="50">
        <f t="shared" si="33"/>
        <v>5.239101375533612E-2</v>
      </c>
      <c r="AG81" s="48">
        <f t="shared" si="34"/>
        <v>46.5</v>
      </c>
      <c r="AH81" s="48">
        <f t="shared" si="34"/>
        <v>327</v>
      </c>
      <c r="AI81" s="48">
        <f t="shared" si="34"/>
        <v>147</v>
      </c>
      <c r="AJ81" s="48">
        <f t="shared" si="34"/>
        <v>30</v>
      </c>
      <c r="AK81" s="48">
        <f t="shared" si="34"/>
        <v>7</v>
      </c>
      <c r="AL81" s="48">
        <f t="shared" si="34"/>
        <v>0</v>
      </c>
      <c r="AM81" s="48">
        <f t="shared" si="34"/>
        <v>14</v>
      </c>
      <c r="AN81" s="48">
        <f t="shared" si="34"/>
        <v>21</v>
      </c>
      <c r="AO81" s="48">
        <f t="shared" si="34"/>
        <v>15</v>
      </c>
      <c r="AQ81" s="50"/>
      <c r="AU81" s="5"/>
      <c r="AV81" s="5"/>
      <c r="AW81" s="5"/>
      <c r="AX81" s="5"/>
      <c r="AY81" s="5"/>
    </row>
    <row r="82" spans="1:51" s="48" customFormat="1">
      <c r="A82" s="3">
        <v>0.87499999999999911</v>
      </c>
      <c r="B82" s="3">
        <v>0.91666666666666663</v>
      </c>
      <c r="C82" s="21"/>
      <c r="D82" s="21"/>
      <c r="E82" s="22"/>
      <c r="F82" s="22"/>
      <c r="G82" s="22"/>
      <c r="H82" s="22"/>
      <c r="I82" s="22"/>
      <c r="J82" s="22"/>
      <c r="K82" s="22"/>
      <c r="L82" s="22"/>
      <c r="O82" s="34">
        <f>SUM(O38:O39)</f>
        <v>0</v>
      </c>
      <c r="P82" s="34">
        <f t="shared" ref="P82:X82" si="48">SUM(P38:P39)</f>
        <v>0</v>
      </c>
      <c r="Q82" s="34">
        <f t="shared" si="48"/>
        <v>0</v>
      </c>
      <c r="R82" s="35">
        <f t="shared" si="48"/>
        <v>0</v>
      </c>
      <c r="S82" s="35">
        <f t="shared" si="48"/>
        <v>0</v>
      </c>
      <c r="T82" s="35">
        <f t="shared" si="48"/>
        <v>0</v>
      </c>
      <c r="U82" s="35">
        <f t="shared" si="48"/>
        <v>0</v>
      </c>
      <c r="V82" s="35">
        <f t="shared" si="48"/>
        <v>0</v>
      </c>
      <c r="W82" s="35">
        <f t="shared" si="48"/>
        <v>0</v>
      </c>
      <c r="X82" s="35">
        <f t="shared" si="48"/>
        <v>0</v>
      </c>
      <c r="Y82" s="36">
        <f t="shared" si="28"/>
        <v>0</v>
      </c>
      <c r="Z82" s="37">
        <f t="shared" si="29"/>
        <v>0</v>
      </c>
      <c r="AA82" s="37">
        <f t="shared" si="30"/>
        <v>0</v>
      </c>
      <c r="AB82" s="36">
        <f t="shared" si="31"/>
        <v>0</v>
      </c>
      <c r="AC82" s="38">
        <f t="shared" si="32"/>
        <v>0</v>
      </c>
      <c r="AD82" s="50">
        <f t="shared" si="33"/>
        <v>0</v>
      </c>
      <c r="AE82" s="50">
        <f t="shared" si="33"/>
        <v>0</v>
      </c>
      <c r="AG82" s="48">
        <f t="shared" si="34"/>
        <v>0</v>
      </c>
      <c r="AH82" s="48">
        <f t="shared" si="34"/>
        <v>0</v>
      </c>
      <c r="AI82" s="48">
        <f t="shared" si="34"/>
        <v>0</v>
      </c>
      <c r="AJ82" s="48">
        <f t="shared" si="34"/>
        <v>0</v>
      </c>
      <c r="AK82" s="48">
        <f t="shared" si="34"/>
        <v>0</v>
      </c>
      <c r="AL82" s="48">
        <f t="shared" si="34"/>
        <v>0</v>
      </c>
      <c r="AM82" s="48">
        <f t="shared" si="34"/>
        <v>0</v>
      </c>
      <c r="AN82" s="48">
        <f t="shared" si="34"/>
        <v>0</v>
      </c>
      <c r="AO82" s="48">
        <f t="shared" si="34"/>
        <v>0</v>
      </c>
      <c r="AQ82" s="50"/>
      <c r="AU82" s="5"/>
      <c r="AV82" s="5"/>
      <c r="AW82" s="5"/>
      <c r="AX82" s="5"/>
      <c r="AY82" s="5"/>
    </row>
    <row r="83" spans="1:51" s="48" customFormat="1">
      <c r="A83" s="47"/>
      <c r="B83" s="47"/>
      <c r="C83" s="64"/>
      <c r="N83" s="54" t="s">
        <v>17</v>
      </c>
      <c r="O83" s="69">
        <f t="shared" ref="O83:W83" si="49">SUM(O68:O82)</f>
        <v>2304</v>
      </c>
      <c r="P83" s="69">
        <f t="shared" si="49"/>
        <v>8736</v>
      </c>
      <c r="Q83" s="69">
        <f t="shared" si="49"/>
        <v>3489</v>
      </c>
      <c r="R83" s="69">
        <f t="shared" si="49"/>
        <v>929</v>
      </c>
      <c r="S83" s="69">
        <f t="shared" si="49"/>
        <v>148</v>
      </c>
      <c r="T83" s="69">
        <f t="shared" si="49"/>
        <v>16</v>
      </c>
      <c r="U83" s="69">
        <f t="shared" si="49"/>
        <v>306</v>
      </c>
      <c r="V83" s="69">
        <f t="shared" si="49"/>
        <v>319</v>
      </c>
      <c r="W83" s="69">
        <f t="shared" si="49"/>
        <v>158</v>
      </c>
      <c r="Y83" s="67">
        <f>SUM(Y68:Y82)</f>
        <v>6722</v>
      </c>
      <c r="Z83" s="67">
        <f>SUM(Z68:Z82)</f>
        <v>9206</v>
      </c>
      <c r="AA83" s="67">
        <f>SUM(AA68:AA82)</f>
        <v>477</v>
      </c>
      <c r="AB83" s="67">
        <f>SUM(AB68:AB82)</f>
        <v>16405</v>
      </c>
      <c r="AC83" s="67">
        <f>SUM(AC68:AC82)</f>
        <v>11595.5</v>
      </c>
      <c r="AD83" s="50">
        <f t="shared" si="33"/>
        <v>1</v>
      </c>
      <c r="AE83" s="50">
        <f t="shared" si="33"/>
        <v>1</v>
      </c>
      <c r="AQ83" s="50"/>
    </row>
    <row r="84" spans="1:51" s="48" customFormat="1">
      <c r="A84" s="51"/>
      <c r="B84" s="51"/>
      <c r="N84" s="54" t="s">
        <v>16</v>
      </c>
      <c r="Y84" s="50"/>
      <c r="Z84" s="50"/>
      <c r="AA84" s="50"/>
      <c r="AB84" s="49"/>
    </row>
    <row r="85" spans="1:51" s="48" customFormat="1">
      <c r="A85" s="51"/>
      <c r="B85" s="51"/>
    </row>
    <row r="86" spans="1:51" s="48" customFormat="1">
      <c r="AB86" s="52" t="s">
        <v>14</v>
      </c>
      <c r="AC86" s="55">
        <f>MAX(AC68:AC82)</f>
        <v>1300.5</v>
      </c>
    </row>
    <row r="87" spans="1:51" s="48" customFormat="1">
      <c r="AB87" s="52" t="s">
        <v>15</v>
      </c>
      <c r="AC87" s="56" t="s">
        <v>23</v>
      </c>
    </row>
    <row r="88" spans="1:51" s="48" customFormat="1"/>
    <row r="89" spans="1:51" s="48" customFormat="1"/>
    <row r="90" spans="1:51" s="48" customFormat="1"/>
  </sheetData>
  <mergeCells count="1">
    <mergeCell ref="A7:B7"/>
  </mergeCells>
  <phoneticPr fontId="9" type="noConversion"/>
  <conditionalFormatting sqref="C10:L65 O10:AC65 C68:L82 O68:AC82">
    <cfRule type="cellIs" dxfId="3" priority="1" stopIfTrue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1589-367C-4B65-A234-36D8259E8BA7}">
  <dimension ref="A1:AY90"/>
  <sheetViews>
    <sheetView zoomScale="115" zoomScaleNormal="115" workbookViewId="0">
      <pane xSplit="2" ySplit="9" topLeftCell="C64" activePane="bottomRight" state="frozen"/>
      <selection activeCell="D4" sqref="D4"/>
      <selection pane="topRight" activeCell="D4" sqref="D4"/>
      <selection pane="bottomLeft" activeCell="D4" sqref="D4"/>
      <selection pane="bottomRight" activeCell="O68" sqref="O68:X82"/>
    </sheetView>
  </sheetViews>
  <sheetFormatPr defaultColWidth="8.85546875" defaultRowHeight="15"/>
  <cols>
    <col min="1" max="2" width="5.7109375" style="5" customWidth="1"/>
    <col min="3" max="12" width="6.7109375" style="5" customWidth="1"/>
    <col min="13" max="14" width="5.7109375" style="48" customWidth="1"/>
    <col min="15" max="15" width="7.7109375" style="5" customWidth="1"/>
    <col min="16" max="24" width="6.7109375" style="5" customWidth="1"/>
    <col min="25" max="29" width="8.85546875" style="5"/>
    <col min="30" max="42" width="8.85546875" style="48"/>
    <col min="43" max="43" width="10" style="48" bestFit="1" customWidth="1"/>
    <col min="44" max="46" width="8.85546875" style="48"/>
    <col min="47" max="16384" width="8.85546875" style="5"/>
  </cols>
  <sheetData>
    <row r="1" spans="1:51" s="46" customFormat="1">
      <c r="A1" s="45" t="s">
        <v>12</v>
      </c>
      <c r="M1" s="48"/>
      <c r="N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</row>
    <row r="2" spans="1:51" s="46" customFormat="1">
      <c r="A2" s="71" t="s">
        <v>24</v>
      </c>
      <c r="C2" s="46" t="s">
        <v>28</v>
      </c>
      <c r="I2" s="46" t="s">
        <v>26</v>
      </c>
      <c r="J2" s="46" t="s">
        <v>31</v>
      </c>
      <c r="M2" s="48"/>
      <c r="N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</row>
    <row r="3" spans="1:51" s="46" customFormat="1">
      <c r="A3" s="71" t="s">
        <v>25</v>
      </c>
      <c r="C3" s="46" t="s">
        <v>29</v>
      </c>
      <c r="M3" s="48"/>
      <c r="N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</row>
    <row r="4" spans="1:51" s="46" customFormat="1">
      <c r="A4" s="71" t="s">
        <v>27</v>
      </c>
      <c r="C4" s="72" t="s">
        <v>46</v>
      </c>
      <c r="M4" s="48"/>
      <c r="N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</row>
    <row r="5" spans="1:51" s="46" customFormat="1">
      <c r="A5" s="45"/>
      <c r="M5" s="48"/>
      <c r="N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</row>
    <row r="6" spans="1:51" s="46" customFormat="1">
      <c r="A6" s="45" t="s">
        <v>13</v>
      </c>
      <c r="M6" s="48"/>
      <c r="N6" s="48"/>
      <c r="O6" s="45" t="s">
        <v>9</v>
      </c>
      <c r="P6" s="45"/>
      <c r="Q6" s="45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</row>
    <row r="7" spans="1:51" s="23" customFormat="1" ht="31.5">
      <c r="A7" s="73" t="s">
        <v>0</v>
      </c>
      <c r="B7" s="73"/>
      <c r="C7" s="59" t="s">
        <v>32</v>
      </c>
      <c r="D7" s="59" t="s">
        <v>33</v>
      </c>
      <c r="E7" s="59" t="s">
        <v>34</v>
      </c>
      <c r="F7" s="59" t="s">
        <v>35</v>
      </c>
      <c r="G7" s="59" t="s">
        <v>36</v>
      </c>
      <c r="H7" s="59" t="s">
        <v>45</v>
      </c>
      <c r="I7" s="59" t="s">
        <v>38</v>
      </c>
      <c r="J7" s="59" t="s">
        <v>39</v>
      </c>
      <c r="K7" s="59" t="s">
        <v>40</v>
      </c>
      <c r="L7" s="59"/>
      <c r="M7" s="60"/>
      <c r="N7" s="60"/>
      <c r="O7" s="59" t="str">
        <f>C7</f>
        <v>Private Car</v>
      </c>
      <c r="P7" s="59" t="str">
        <f>D7</f>
        <v>MC</v>
      </c>
      <c r="Q7" s="59" t="str">
        <f t="shared" ref="Q7:X7" si="0">E7</f>
        <v>Tricycle</v>
      </c>
      <c r="R7" s="59" t="str">
        <f t="shared" si="0"/>
        <v>PUJ</v>
      </c>
      <c r="S7" s="59" t="str">
        <f t="shared" si="0"/>
        <v>Public Van</v>
      </c>
      <c r="T7" s="59" t="str">
        <f t="shared" si="0"/>
        <v>Bus</v>
      </c>
      <c r="U7" s="59" t="str">
        <f t="shared" si="0"/>
        <v>Truck</v>
      </c>
      <c r="V7" s="59" t="str">
        <f t="shared" si="0"/>
        <v>Light Goods</v>
      </c>
      <c r="W7" s="59" t="str">
        <f t="shared" si="0"/>
        <v>Others</v>
      </c>
      <c r="X7" s="59">
        <f t="shared" si="0"/>
        <v>0</v>
      </c>
      <c r="Y7" s="61" t="s">
        <v>10</v>
      </c>
      <c r="Z7" s="62" t="s">
        <v>1</v>
      </c>
      <c r="AA7" s="62" t="s">
        <v>2</v>
      </c>
      <c r="AB7" s="61" t="s">
        <v>3</v>
      </c>
      <c r="AC7" s="63" t="s">
        <v>4</v>
      </c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</row>
    <row r="8" spans="1:51">
      <c r="A8" s="6">
        <v>2.0833333333333332E-2</v>
      </c>
      <c r="C8" s="65"/>
      <c r="D8" s="65" t="s">
        <v>6</v>
      </c>
      <c r="E8" s="65" t="s">
        <v>6</v>
      </c>
      <c r="F8" s="65" t="s">
        <v>6</v>
      </c>
      <c r="G8" s="44" t="s">
        <v>8</v>
      </c>
      <c r="H8" s="65" t="s">
        <v>6</v>
      </c>
      <c r="I8" s="44" t="s">
        <v>8</v>
      </c>
      <c r="J8" s="44" t="s">
        <v>8</v>
      </c>
      <c r="K8" s="44" t="s">
        <v>8</v>
      </c>
      <c r="L8" s="44"/>
      <c r="M8" s="57"/>
      <c r="N8" s="57" t="s">
        <v>5</v>
      </c>
      <c r="O8" s="8">
        <v>0.5</v>
      </c>
      <c r="P8" s="8">
        <v>0.5</v>
      </c>
      <c r="Q8" s="8">
        <v>1</v>
      </c>
      <c r="R8" s="8">
        <v>1</v>
      </c>
      <c r="S8" s="8">
        <v>1</v>
      </c>
      <c r="T8" s="8">
        <v>1.5</v>
      </c>
      <c r="U8" s="8">
        <v>2</v>
      </c>
      <c r="V8" s="7">
        <v>1.5</v>
      </c>
      <c r="W8" s="7">
        <v>2.5</v>
      </c>
      <c r="X8" s="7">
        <v>1</v>
      </c>
      <c r="Y8" s="9"/>
      <c r="Z8" s="10"/>
      <c r="AA8" s="10"/>
      <c r="AB8" s="9"/>
      <c r="AC8" s="11"/>
      <c r="AG8" s="68" t="s">
        <v>19</v>
      </c>
      <c r="AQ8" s="48" t="s">
        <v>20</v>
      </c>
    </row>
    <row r="9" spans="1:51">
      <c r="A9" s="1"/>
      <c r="B9" s="12" t="s">
        <v>7</v>
      </c>
      <c r="C9" s="8"/>
      <c r="D9" s="8"/>
      <c r="E9" s="8"/>
      <c r="F9" s="8"/>
      <c r="G9" s="8"/>
      <c r="H9" s="8"/>
      <c r="I9" s="12"/>
      <c r="J9" s="12"/>
      <c r="K9" s="12"/>
      <c r="L9" s="12"/>
      <c r="M9" s="58"/>
      <c r="N9" s="12" t="s">
        <v>17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4"/>
      <c r="Z9" s="15"/>
      <c r="AA9" s="15"/>
      <c r="AB9" s="14"/>
      <c r="AC9" s="16"/>
      <c r="AG9" s="48" t="s">
        <v>21</v>
      </c>
    </row>
    <row r="10" spans="1:51">
      <c r="A10" s="3">
        <v>0.29166666666666674</v>
      </c>
      <c r="B10" s="3">
        <f t="shared" ref="B10:B65" si="1">$A$8+A10</f>
        <v>0.31250000000000006</v>
      </c>
      <c r="C10" s="21"/>
      <c r="D10" s="21"/>
      <c r="E10" s="22"/>
      <c r="F10" s="22"/>
      <c r="G10" s="22"/>
      <c r="H10" s="22"/>
      <c r="I10" s="22"/>
      <c r="J10" s="22"/>
      <c r="K10" s="22"/>
      <c r="L10" s="22"/>
      <c r="O10" s="34">
        <v>48</v>
      </c>
      <c r="P10" s="34">
        <v>181</v>
      </c>
      <c r="Q10" s="34">
        <v>93</v>
      </c>
      <c r="R10" s="35">
        <v>10</v>
      </c>
      <c r="S10" s="35">
        <v>0</v>
      </c>
      <c r="T10" s="35">
        <v>3</v>
      </c>
      <c r="U10" s="35">
        <v>1</v>
      </c>
      <c r="V10" s="35">
        <f t="shared" ref="S10:X25" si="2">J10-J9</f>
        <v>0</v>
      </c>
      <c r="W10" s="35">
        <v>2</v>
      </c>
      <c r="X10" s="35">
        <f t="shared" si="2"/>
        <v>0</v>
      </c>
      <c r="Y10" s="36">
        <f t="shared" ref="Y10:Y65" si="3">O10+Q10+R10</f>
        <v>151</v>
      </c>
      <c r="Z10" s="37">
        <f t="shared" ref="Z10:Z65" si="4">S10+T10+U10+P10</f>
        <v>185</v>
      </c>
      <c r="AA10" s="37">
        <f t="shared" ref="AA10:AA65" si="5">V10+W10</f>
        <v>2</v>
      </c>
      <c r="AB10" s="36">
        <f t="shared" ref="AB10:AB65" si="6">SUM(O10:W10)</f>
        <v>338</v>
      </c>
      <c r="AC10" s="38">
        <f t="shared" ref="AC10:AC65" si="7">SUM(AG10:AO10)</f>
        <v>229</v>
      </c>
      <c r="AG10" s="66">
        <f t="shared" ref="AG10:AO37" si="8">O10*O$8</f>
        <v>24</v>
      </c>
      <c r="AH10" s="66">
        <f t="shared" si="8"/>
        <v>90.5</v>
      </c>
      <c r="AI10" s="66">
        <f t="shared" si="8"/>
        <v>93</v>
      </c>
      <c r="AJ10" s="66">
        <f t="shared" si="8"/>
        <v>10</v>
      </c>
      <c r="AK10" s="66">
        <f t="shared" si="8"/>
        <v>0</v>
      </c>
      <c r="AL10" s="66">
        <f t="shared" si="8"/>
        <v>4.5</v>
      </c>
      <c r="AM10" s="66">
        <f t="shared" si="8"/>
        <v>2</v>
      </c>
      <c r="AN10" s="66">
        <f t="shared" si="8"/>
        <v>0</v>
      </c>
      <c r="AO10" s="66">
        <f t="shared" si="8"/>
        <v>5</v>
      </c>
      <c r="AQ10" s="49">
        <f t="shared" ref="AQ10:AY10" si="9">SUM(O10:O13)</f>
        <v>260</v>
      </c>
      <c r="AR10" s="49">
        <f t="shared" si="9"/>
        <v>785</v>
      </c>
      <c r="AS10" s="49">
        <f t="shared" si="9"/>
        <v>300</v>
      </c>
      <c r="AT10" s="49">
        <f t="shared" si="9"/>
        <v>53</v>
      </c>
      <c r="AU10" s="49">
        <f t="shared" si="9"/>
        <v>2</v>
      </c>
      <c r="AV10" s="49">
        <f t="shared" si="9"/>
        <v>3</v>
      </c>
      <c r="AW10" s="49">
        <f t="shared" si="9"/>
        <v>2</v>
      </c>
      <c r="AX10" s="49">
        <f t="shared" si="9"/>
        <v>1</v>
      </c>
      <c r="AY10" s="49">
        <f t="shared" si="9"/>
        <v>11</v>
      </c>
    </row>
    <row r="11" spans="1:51">
      <c r="A11" s="1">
        <f t="shared" ref="A11:A65" si="10">B10</f>
        <v>0.31250000000000006</v>
      </c>
      <c r="B11" s="1">
        <f t="shared" si="1"/>
        <v>0.33333333333333337</v>
      </c>
      <c r="C11" s="17"/>
      <c r="D11" s="17"/>
      <c r="E11" s="18"/>
      <c r="F11" s="18"/>
      <c r="G11" s="18"/>
      <c r="H11" s="18"/>
      <c r="I11" s="18"/>
      <c r="J11" s="18"/>
      <c r="K11" s="18"/>
      <c r="L11" s="18"/>
      <c r="O11" s="24">
        <v>71</v>
      </c>
      <c r="P11" s="24">
        <v>239</v>
      </c>
      <c r="Q11" s="24">
        <v>64</v>
      </c>
      <c r="R11" s="25">
        <v>15</v>
      </c>
      <c r="S11" s="25">
        <v>1</v>
      </c>
      <c r="T11" s="25">
        <f t="shared" si="2"/>
        <v>0</v>
      </c>
      <c r="U11" s="25">
        <v>0</v>
      </c>
      <c r="V11" s="25">
        <v>1</v>
      </c>
      <c r="W11" s="25">
        <v>1</v>
      </c>
      <c r="X11" s="25">
        <f t="shared" si="2"/>
        <v>0</v>
      </c>
      <c r="Y11" s="26">
        <f t="shared" si="3"/>
        <v>150</v>
      </c>
      <c r="Z11" s="27">
        <f t="shared" si="4"/>
        <v>240</v>
      </c>
      <c r="AA11" s="27">
        <f t="shared" si="5"/>
        <v>2</v>
      </c>
      <c r="AB11" s="26">
        <f t="shared" si="6"/>
        <v>392</v>
      </c>
      <c r="AC11" s="28">
        <f t="shared" si="7"/>
        <v>239</v>
      </c>
      <c r="AG11" s="66">
        <f t="shared" si="8"/>
        <v>35.5</v>
      </c>
      <c r="AH11" s="66">
        <f t="shared" si="8"/>
        <v>119.5</v>
      </c>
      <c r="AI11" s="66">
        <f t="shared" si="8"/>
        <v>64</v>
      </c>
      <c r="AJ11" s="66">
        <f t="shared" si="8"/>
        <v>15</v>
      </c>
      <c r="AK11" s="66">
        <f t="shared" si="8"/>
        <v>1</v>
      </c>
      <c r="AL11" s="66">
        <f t="shared" si="8"/>
        <v>0</v>
      </c>
      <c r="AM11" s="66">
        <f t="shared" si="8"/>
        <v>0</v>
      </c>
      <c r="AN11" s="66">
        <f t="shared" si="8"/>
        <v>1.5</v>
      </c>
      <c r="AO11" s="66">
        <f t="shared" si="8"/>
        <v>2.5</v>
      </c>
      <c r="AU11" s="48"/>
      <c r="AV11" s="48"/>
      <c r="AW11" s="48"/>
      <c r="AX11" s="48"/>
      <c r="AY11" s="48"/>
    </row>
    <row r="12" spans="1:51">
      <c r="A12" s="1">
        <f t="shared" si="10"/>
        <v>0.33333333333333337</v>
      </c>
      <c r="B12" s="1">
        <f t="shared" si="1"/>
        <v>0.35416666666666669</v>
      </c>
      <c r="C12" s="17"/>
      <c r="D12" s="17"/>
      <c r="E12" s="18"/>
      <c r="F12" s="18"/>
      <c r="G12" s="18"/>
      <c r="H12" s="18"/>
      <c r="I12" s="18"/>
      <c r="J12" s="18"/>
      <c r="K12" s="18"/>
      <c r="L12" s="18"/>
      <c r="O12" s="24">
        <v>82</v>
      </c>
      <c r="P12" s="24">
        <v>228</v>
      </c>
      <c r="Q12" s="24">
        <v>81</v>
      </c>
      <c r="R12" s="25">
        <v>10</v>
      </c>
      <c r="S12" s="25">
        <v>1</v>
      </c>
      <c r="T12" s="25">
        <f t="shared" si="2"/>
        <v>0</v>
      </c>
      <c r="U12" s="25">
        <v>0</v>
      </c>
      <c r="V12" s="25">
        <f t="shared" si="2"/>
        <v>0</v>
      </c>
      <c r="W12" s="25">
        <v>5</v>
      </c>
      <c r="X12" s="25">
        <f t="shared" si="2"/>
        <v>0</v>
      </c>
      <c r="Y12" s="26">
        <f t="shared" si="3"/>
        <v>173</v>
      </c>
      <c r="Z12" s="27">
        <f t="shared" si="4"/>
        <v>229</v>
      </c>
      <c r="AA12" s="27">
        <f t="shared" si="5"/>
        <v>5</v>
      </c>
      <c r="AB12" s="26">
        <f t="shared" si="6"/>
        <v>407</v>
      </c>
      <c r="AC12" s="28">
        <f t="shared" si="7"/>
        <v>259.5</v>
      </c>
      <c r="AG12" s="66">
        <f t="shared" si="8"/>
        <v>41</v>
      </c>
      <c r="AH12" s="66">
        <f t="shared" si="8"/>
        <v>114</v>
      </c>
      <c r="AI12" s="66">
        <f t="shared" si="8"/>
        <v>81</v>
      </c>
      <c r="AJ12" s="66">
        <f t="shared" si="8"/>
        <v>10</v>
      </c>
      <c r="AK12" s="66">
        <f t="shared" si="8"/>
        <v>1</v>
      </c>
      <c r="AL12" s="66">
        <f t="shared" si="8"/>
        <v>0</v>
      </c>
      <c r="AM12" s="66">
        <f t="shared" si="8"/>
        <v>0</v>
      </c>
      <c r="AN12" s="66">
        <f t="shared" si="8"/>
        <v>0</v>
      </c>
      <c r="AO12" s="66">
        <f t="shared" si="8"/>
        <v>12.5</v>
      </c>
      <c r="AU12" s="48"/>
      <c r="AV12" s="48"/>
      <c r="AW12" s="48"/>
      <c r="AX12" s="48"/>
      <c r="AY12" s="48"/>
    </row>
    <row r="13" spans="1:51">
      <c r="A13" s="2">
        <f t="shared" si="10"/>
        <v>0.35416666666666669</v>
      </c>
      <c r="B13" s="2">
        <f t="shared" si="1"/>
        <v>0.375</v>
      </c>
      <c r="C13" s="19"/>
      <c r="D13" s="19"/>
      <c r="E13" s="20"/>
      <c r="F13" s="20"/>
      <c r="G13" s="20"/>
      <c r="H13" s="20"/>
      <c r="I13" s="20"/>
      <c r="J13" s="20"/>
      <c r="K13" s="20"/>
      <c r="L13" s="20"/>
      <c r="O13" s="29">
        <v>59</v>
      </c>
      <c r="P13" s="29">
        <v>137</v>
      </c>
      <c r="Q13" s="29">
        <v>62</v>
      </c>
      <c r="R13" s="30">
        <v>18</v>
      </c>
      <c r="S13" s="30">
        <f t="shared" si="2"/>
        <v>0</v>
      </c>
      <c r="T13" s="30">
        <f t="shared" si="2"/>
        <v>0</v>
      </c>
      <c r="U13" s="30">
        <v>1</v>
      </c>
      <c r="V13" s="30">
        <f t="shared" si="2"/>
        <v>0</v>
      </c>
      <c r="W13" s="30">
        <v>3</v>
      </c>
      <c r="X13" s="30">
        <f t="shared" si="2"/>
        <v>0</v>
      </c>
      <c r="Y13" s="31">
        <f t="shared" si="3"/>
        <v>139</v>
      </c>
      <c r="Z13" s="32">
        <f t="shared" si="4"/>
        <v>138</v>
      </c>
      <c r="AA13" s="32">
        <f t="shared" si="5"/>
        <v>3</v>
      </c>
      <c r="AB13" s="31">
        <f t="shared" si="6"/>
        <v>280</v>
      </c>
      <c r="AC13" s="33">
        <f t="shared" si="7"/>
        <v>187.5</v>
      </c>
      <c r="AG13" s="66">
        <f t="shared" si="8"/>
        <v>29.5</v>
      </c>
      <c r="AH13" s="66">
        <f t="shared" si="8"/>
        <v>68.5</v>
      </c>
      <c r="AI13" s="66">
        <f t="shared" si="8"/>
        <v>62</v>
      </c>
      <c r="AJ13" s="66">
        <f t="shared" si="8"/>
        <v>18</v>
      </c>
      <c r="AK13" s="66">
        <f t="shared" si="8"/>
        <v>0</v>
      </c>
      <c r="AL13" s="66">
        <f t="shared" si="8"/>
        <v>0</v>
      </c>
      <c r="AM13" s="66">
        <f t="shared" si="8"/>
        <v>2</v>
      </c>
      <c r="AN13" s="66">
        <f t="shared" si="8"/>
        <v>0</v>
      </c>
      <c r="AO13" s="66">
        <f t="shared" si="8"/>
        <v>7.5</v>
      </c>
      <c r="AU13" s="48"/>
      <c r="AV13" s="48"/>
      <c r="AW13" s="48"/>
      <c r="AX13" s="48"/>
      <c r="AY13" s="48"/>
    </row>
    <row r="14" spans="1:51">
      <c r="A14" s="3">
        <f t="shared" si="10"/>
        <v>0.375</v>
      </c>
      <c r="B14" s="3">
        <f t="shared" si="1"/>
        <v>0.39583333333333331</v>
      </c>
      <c r="C14" s="21"/>
      <c r="D14" s="21"/>
      <c r="E14" s="22"/>
      <c r="F14" s="22"/>
      <c r="G14" s="22"/>
      <c r="H14" s="22"/>
      <c r="I14" s="22"/>
      <c r="J14" s="22"/>
      <c r="K14" s="22"/>
      <c r="L14" s="22"/>
      <c r="O14" s="34">
        <v>39</v>
      </c>
      <c r="P14" s="34">
        <v>130</v>
      </c>
      <c r="Q14" s="34">
        <v>31</v>
      </c>
      <c r="R14" s="35">
        <v>112</v>
      </c>
      <c r="S14" s="35">
        <f t="shared" si="2"/>
        <v>0</v>
      </c>
      <c r="T14" s="35">
        <f t="shared" si="2"/>
        <v>0</v>
      </c>
      <c r="U14" s="35">
        <f t="shared" si="2"/>
        <v>0</v>
      </c>
      <c r="V14" s="35">
        <f t="shared" si="2"/>
        <v>0</v>
      </c>
      <c r="W14" s="35">
        <v>2</v>
      </c>
      <c r="X14" s="35">
        <f t="shared" si="2"/>
        <v>0</v>
      </c>
      <c r="Y14" s="36">
        <f t="shared" si="3"/>
        <v>182</v>
      </c>
      <c r="Z14" s="37">
        <f t="shared" si="4"/>
        <v>130</v>
      </c>
      <c r="AA14" s="37">
        <f t="shared" si="5"/>
        <v>2</v>
      </c>
      <c r="AB14" s="36">
        <f t="shared" si="6"/>
        <v>314</v>
      </c>
      <c r="AC14" s="38">
        <f t="shared" si="7"/>
        <v>232.5</v>
      </c>
      <c r="AG14" s="66">
        <f t="shared" si="8"/>
        <v>19.5</v>
      </c>
      <c r="AH14" s="66">
        <f t="shared" si="8"/>
        <v>65</v>
      </c>
      <c r="AI14" s="66">
        <f t="shared" si="8"/>
        <v>31</v>
      </c>
      <c r="AJ14" s="66">
        <f t="shared" si="8"/>
        <v>112</v>
      </c>
      <c r="AK14" s="66">
        <f t="shared" si="8"/>
        <v>0</v>
      </c>
      <c r="AL14" s="66">
        <f t="shared" si="8"/>
        <v>0</v>
      </c>
      <c r="AM14" s="66">
        <f t="shared" si="8"/>
        <v>0</v>
      </c>
      <c r="AN14" s="66">
        <f t="shared" si="8"/>
        <v>0</v>
      </c>
      <c r="AO14" s="66">
        <f t="shared" si="8"/>
        <v>5</v>
      </c>
      <c r="AQ14" s="49">
        <f t="shared" ref="AQ14:AY14" si="11">SUM(O14:O17)</f>
        <v>139</v>
      </c>
      <c r="AR14" s="49">
        <f t="shared" si="11"/>
        <v>480</v>
      </c>
      <c r="AS14" s="49">
        <f t="shared" si="11"/>
        <v>161</v>
      </c>
      <c r="AT14" s="49">
        <f t="shared" si="11"/>
        <v>130</v>
      </c>
      <c r="AU14" s="49">
        <f t="shared" si="11"/>
        <v>1</v>
      </c>
      <c r="AV14" s="49">
        <f t="shared" si="11"/>
        <v>0</v>
      </c>
      <c r="AW14" s="49">
        <f t="shared" si="11"/>
        <v>0</v>
      </c>
      <c r="AX14" s="49">
        <f t="shared" si="11"/>
        <v>1</v>
      </c>
      <c r="AY14" s="49">
        <f t="shared" si="11"/>
        <v>3</v>
      </c>
    </row>
    <row r="15" spans="1:51">
      <c r="A15" s="1">
        <f t="shared" si="10"/>
        <v>0.39583333333333331</v>
      </c>
      <c r="B15" s="1">
        <f t="shared" si="1"/>
        <v>0.41666666666666663</v>
      </c>
      <c r="C15" s="17"/>
      <c r="D15" s="17"/>
      <c r="E15" s="18"/>
      <c r="F15" s="18"/>
      <c r="G15" s="18"/>
      <c r="H15" s="18"/>
      <c r="I15" s="18"/>
      <c r="J15" s="18"/>
      <c r="K15" s="18"/>
      <c r="L15" s="18"/>
      <c r="O15" s="24">
        <v>32</v>
      </c>
      <c r="P15" s="24">
        <v>157</v>
      </c>
      <c r="Q15" s="24">
        <v>46</v>
      </c>
      <c r="R15" s="25">
        <v>2</v>
      </c>
      <c r="S15" s="25">
        <f t="shared" si="2"/>
        <v>0</v>
      </c>
      <c r="T15" s="25">
        <f t="shared" si="2"/>
        <v>0</v>
      </c>
      <c r="U15" s="25">
        <f t="shared" si="2"/>
        <v>0</v>
      </c>
      <c r="V15" s="25">
        <f t="shared" si="2"/>
        <v>0</v>
      </c>
      <c r="W15" s="25">
        <v>1</v>
      </c>
      <c r="X15" s="25">
        <f t="shared" si="2"/>
        <v>0</v>
      </c>
      <c r="Y15" s="26">
        <f t="shared" si="3"/>
        <v>80</v>
      </c>
      <c r="Z15" s="27">
        <f t="shared" si="4"/>
        <v>157</v>
      </c>
      <c r="AA15" s="27">
        <f t="shared" si="5"/>
        <v>1</v>
      </c>
      <c r="AB15" s="26">
        <f t="shared" si="6"/>
        <v>238</v>
      </c>
      <c r="AC15" s="28">
        <f t="shared" si="7"/>
        <v>145</v>
      </c>
      <c r="AG15" s="66">
        <f t="shared" si="8"/>
        <v>16</v>
      </c>
      <c r="AH15" s="66">
        <f t="shared" si="8"/>
        <v>78.5</v>
      </c>
      <c r="AI15" s="66">
        <f t="shared" si="8"/>
        <v>46</v>
      </c>
      <c r="AJ15" s="66">
        <f t="shared" si="8"/>
        <v>2</v>
      </c>
      <c r="AK15" s="66">
        <f t="shared" si="8"/>
        <v>0</v>
      </c>
      <c r="AL15" s="66">
        <f t="shared" si="8"/>
        <v>0</v>
      </c>
      <c r="AM15" s="66">
        <f t="shared" si="8"/>
        <v>0</v>
      </c>
      <c r="AN15" s="66">
        <f t="shared" si="8"/>
        <v>0</v>
      </c>
      <c r="AO15" s="66">
        <f t="shared" si="8"/>
        <v>2.5</v>
      </c>
      <c r="AU15" s="48"/>
      <c r="AV15" s="48"/>
      <c r="AW15" s="48"/>
      <c r="AX15" s="48"/>
      <c r="AY15" s="48"/>
    </row>
    <row r="16" spans="1:51">
      <c r="A16" s="1">
        <f t="shared" si="10"/>
        <v>0.41666666666666663</v>
      </c>
      <c r="B16" s="1">
        <f t="shared" si="1"/>
        <v>0.43749999999999994</v>
      </c>
      <c r="C16" s="17"/>
      <c r="D16" s="17"/>
      <c r="E16" s="18"/>
      <c r="F16" s="18"/>
      <c r="G16" s="18"/>
      <c r="H16" s="18"/>
      <c r="I16" s="18"/>
      <c r="J16" s="18"/>
      <c r="K16" s="18"/>
      <c r="L16" s="18"/>
      <c r="O16" s="24">
        <v>32</v>
      </c>
      <c r="P16" s="24">
        <v>112</v>
      </c>
      <c r="Q16" s="24">
        <v>70</v>
      </c>
      <c r="R16" s="25">
        <v>8</v>
      </c>
      <c r="S16" s="25">
        <f t="shared" si="2"/>
        <v>0</v>
      </c>
      <c r="T16" s="25">
        <f t="shared" si="2"/>
        <v>0</v>
      </c>
      <c r="U16" s="25">
        <f t="shared" si="2"/>
        <v>0</v>
      </c>
      <c r="V16" s="25">
        <v>1</v>
      </c>
      <c r="W16" s="25">
        <v>0</v>
      </c>
      <c r="X16" s="25">
        <f t="shared" si="2"/>
        <v>0</v>
      </c>
      <c r="Y16" s="26">
        <f t="shared" si="3"/>
        <v>110</v>
      </c>
      <c r="Z16" s="27">
        <f t="shared" si="4"/>
        <v>112</v>
      </c>
      <c r="AA16" s="27">
        <f t="shared" si="5"/>
        <v>1</v>
      </c>
      <c r="AB16" s="26">
        <f t="shared" si="6"/>
        <v>223</v>
      </c>
      <c r="AC16" s="28">
        <f t="shared" si="7"/>
        <v>151.5</v>
      </c>
      <c r="AG16" s="66">
        <f t="shared" si="8"/>
        <v>16</v>
      </c>
      <c r="AH16" s="66">
        <f t="shared" si="8"/>
        <v>56</v>
      </c>
      <c r="AI16" s="66">
        <f t="shared" si="8"/>
        <v>70</v>
      </c>
      <c r="AJ16" s="66">
        <f t="shared" si="8"/>
        <v>8</v>
      </c>
      <c r="AK16" s="66">
        <f t="shared" si="8"/>
        <v>0</v>
      </c>
      <c r="AL16" s="66">
        <f t="shared" si="8"/>
        <v>0</v>
      </c>
      <c r="AM16" s="66">
        <f t="shared" si="8"/>
        <v>0</v>
      </c>
      <c r="AN16" s="66">
        <f t="shared" si="8"/>
        <v>1.5</v>
      </c>
      <c r="AO16" s="66">
        <f t="shared" si="8"/>
        <v>0</v>
      </c>
      <c r="AU16" s="48"/>
      <c r="AV16" s="48"/>
      <c r="AW16" s="48"/>
      <c r="AX16" s="48"/>
      <c r="AY16" s="48"/>
    </row>
    <row r="17" spans="1:51">
      <c r="A17" s="2">
        <f t="shared" si="10"/>
        <v>0.43749999999999994</v>
      </c>
      <c r="B17" s="2">
        <f t="shared" si="1"/>
        <v>0.45833333333333326</v>
      </c>
      <c r="C17" s="19"/>
      <c r="D17" s="19"/>
      <c r="E17" s="20"/>
      <c r="F17" s="20"/>
      <c r="G17" s="20"/>
      <c r="H17" s="20"/>
      <c r="I17" s="20"/>
      <c r="J17" s="20"/>
      <c r="K17" s="20"/>
      <c r="L17" s="20"/>
      <c r="O17" s="29">
        <v>36</v>
      </c>
      <c r="P17" s="29">
        <v>81</v>
      </c>
      <c r="Q17" s="29">
        <v>14</v>
      </c>
      <c r="R17" s="30">
        <v>8</v>
      </c>
      <c r="S17" s="30">
        <v>1</v>
      </c>
      <c r="T17" s="30">
        <f t="shared" si="2"/>
        <v>0</v>
      </c>
      <c r="U17" s="30">
        <v>0</v>
      </c>
      <c r="V17" s="30">
        <f t="shared" si="2"/>
        <v>0</v>
      </c>
      <c r="W17" s="30">
        <f t="shared" si="2"/>
        <v>0</v>
      </c>
      <c r="X17" s="30">
        <f t="shared" si="2"/>
        <v>0</v>
      </c>
      <c r="Y17" s="31">
        <f t="shared" si="3"/>
        <v>58</v>
      </c>
      <c r="Z17" s="32">
        <f t="shared" si="4"/>
        <v>82</v>
      </c>
      <c r="AA17" s="32">
        <f t="shared" si="5"/>
        <v>0</v>
      </c>
      <c r="AB17" s="31">
        <f t="shared" si="6"/>
        <v>140</v>
      </c>
      <c r="AC17" s="33">
        <f t="shared" si="7"/>
        <v>81.5</v>
      </c>
      <c r="AG17" s="66">
        <f t="shared" si="8"/>
        <v>18</v>
      </c>
      <c r="AH17" s="66">
        <f t="shared" si="8"/>
        <v>40.5</v>
      </c>
      <c r="AI17" s="66">
        <f t="shared" si="8"/>
        <v>14</v>
      </c>
      <c r="AJ17" s="66">
        <f t="shared" si="8"/>
        <v>8</v>
      </c>
      <c r="AK17" s="66">
        <f t="shared" si="8"/>
        <v>1</v>
      </c>
      <c r="AL17" s="66">
        <f t="shared" si="8"/>
        <v>0</v>
      </c>
      <c r="AM17" s="66">
        <f t="shared" si="8"/>
        <v>0</v>
      </c>
      <c r="AN17" s="66">
        <f t="shared" si="8"/>
        <v>0</v>
      </c>
      <c r="AO17" s="66">
        <f t="shared" si="8"/>
        <v>0</v>
      </c>
      <c r="AU17" s="48"/>
      <c r="AV17" s="48"/>
      <c r="AW17" s="48"/>
      <c r="AX17" s="48"/>
      <c r="AY17" s="48"/>
    </row>
    <row r="18" spans="1:51">
      <c r="A18" s="3">
        <f t="shared" si="10"/>
        <v>0.45833333333333326</v>
      </c>
      <c r="B18" s="3">
        <f t="shared" si="1"/>
        <v>0.47916666666666657</v>
      </c>
      <c r="C18" s="21"/>
      <c r="D18" s="21"/>
      <c r="E18" s="22"/>
      <c r="F18" s="22"/>
      <c r="G18" s="22"/>
      <c r="H18" s="22"/>
      <c r="I18" s="22"/>
      <c r="J18" s="22"/>
      <c r="K18" s="22"/>
      <c r="L18" s="22"/>
      <c r="O18" s="34">
        <v>26</v>
      </c>
      <c r="P18" s="34">
        <v>73</v>
      </c>
      <c r="Q18" s="34">
        <v>39</v>
      </c>
      <c r="R18" s="35">
        <v>6</v>
      </c>
      <c r="S18" s="35">
        <f t="shared" si="2"/>
        <v>0</v>
      </c>
      <c r="T18" s="35">
        <f t="shared" si="2"/>
        <v>0</v>
      </c>
      <c r="U18" s="35">
        <v>0</v>
      </c>
      <c r="V18" s="35">
        <f t="shared" si="2"/>
        <v>0</v>
      </c>
      <c r="W18" s="35">
        <v>2</v>
      </c>
      <c r="X18" s="35">
        <f t="shared" si="2"/>
        <v>0</v>
      </c>
      <c r="Y18" s="36">
        <f t="shared" si="3"/>
        <v>71</v>
      </c>
      <c r="Z18" s="37">
        <f t="shared" si="4"/>
        <v>73</v>
      </c>
      <c r="AA18" s="37">
        <f t="shared" si="5"/>
        <v>2</v>
      </c>
      <c r="AB18" s="36">
        <f t="shared" si="6"/>
        <v>146</v>
      </c>
      <c r="AC18" s="38">
        <f t="shared" si="7"/>
        <v>99.5</v>
      </c>
      <c r="AG18" s="66">
        <f t="shared" si="8"/>
        <v>13</v>
      </c>
      <c r="AH18" s="66">
        <f t="shared" si="8"/>
        <v>36.5</v>
      </c>
      <c r="AI18" s="66">
        <f t="shared" si="8"/>
        <v>39</v>
      </c>
      <c r="AJ18" s="66">
        <f t="shared" si="8"/>
        <v>6</v>
      </c>
      <c r="AK18" s="66">
        <f t="shared" si="8"/>
        <v>0</v>
      </c>
      <c r="AL18" s="66">
        <f t="shared" si="8"/>
        <v>0</v>
      </c>
      <c r="AM18" s="66">
        <f t="shared" si="8"/>
        <v>0</v>
      </c>
      <c r="AN18" s="66">
        <f t="shared" si="8"/>
        <v>0</v>
      </c>
      <c r="AO18" s="66">
        <f t="shared" si="8"/>
        <v>5</v>
      </c>
      <c r="AQ18" s="49">
        <f t="shared" ref="AQ18:AY18" si="12">SUM(O18:O21)</f>
        <v>132</v>
      </c>
      <c r="AR18" s="49">
        <f t="shared" si="12"/>
        <v>406</v>
      </c>
      <c r="AS18" s="49">
        <f t="shared" si="12"/>
        <v>166</v>
      </c>
      <c r="AT18" s="49">
        <f t="shared" si="12"/>
        <v>31</v>
      </c>
      <c r="AU18" s="49">
        <f t="shared" si="12"/>
        <v>0</v>
      </c>
      <c r="AV18" s="49">
        <f t="shared" si="12"/>
        <v>1</v>
      </c>
      <c r="AW18" s="49">
        <f t="shared" si="12"/>
        <v>1</v>
      </c>
      <c r="AX18" s="49">
        <f t="shared" si="12"/>
        <v>3</v>
      </c>
      <c r="AY18" s="49">
        <f t="shared" si="12"/>
        <v>4</v>
      </c>
    </row>
    <row r="19" spans="1:51">
      <c r="A19" s="1">
        <f t="shared" si="10"/>
        <v>0.47916666666666657</v>
      </c>
      <c r="B19" s="1">
        <f t="shared" si="1"/>
        <v>0.49999999999999989</v>
      </c>
      <c r="C19" s="17"/>
      <c r="D19" s="17"/>
      <c r="E19" s="18"/>
      <c r="F19" s="18"/>
      <c r="G19" s="18"/>
      <c r="H19" s="18"/>
      <c r="I19" s="18"/>
      <c r="J19" s="18"/>
      <c r="K19" s="18"/>
      <c r="L19" s="18"/>
      <c r="O19" s="24">
        <v>40</v>
      </c>
      <c r="P19" s="24">
        <v>84</v>
      </c>
      <c r="Q19" s="24">
        <v>38</v>
      </c>
      <c r="R19" s="25">
        <v>6</v>
      </c>
      <c r="S19" s="25">
        <f t="shared" si="2"/>
        <v>0</v>
      </c>
      <c r="T19" s="25">
        <f t="shared" si="2"/>
        <v>0</v>
      </c>
      <c r="U19" s="25">
        <v>1</v>
      </c>
      <c r="V19" s="25">
        <v>1</v>
      </c>
      <c r="W19" s="25">
        <v>1</v>
      </c>
      <c r="X19" s="25">
        <f t="shared" si="2"/>
        <v>0</v>
      </c>
      <c r="Y19" s="26">
        <f t="shared" si="3"/>
        <v>84</v>
      </c>
      <c r="Z19" s="27">
        <f t="shared" si="4"/>
        <v>85</v>
      </c>
      <c r="AA19" s="27">
        <f t="shared" si="5"/>
        <v>2</v>
      </c>
      <c r="AB19" s="26">
        <f t="shared" si="6"/>
        <v>171</v>
      </c>
      <c r="AC19" s="28">
        <f t="shared" si="7"/>
        <v>112</v>
      </c>
      <c r="AG19" s="66">
        <f t="shared" si="8"/>
        <v>20</v>
      </c>
      <c r="AH19" s="66">
        <f t="shared" si="8"/>
        <v>42</v>
      </c>
      <c r="AI19" s="66">
        <f t="shared" si="8"/>
        <v>38</v>
      </c>
      <c r="AJ19" s="66">
        <f t="shared" si="8"/>
        <v>6</v>
      </c>
      <c r="AK19" s="66">
        <f t="shared" si="8"/>
        <v>0</v>
      </c>
      <c r="AL19" s="66">
        <f t="shared" si="8"/>
        <v>0</v>
      </c>
      <c r="AM19" s="66">
        <f t="shared" si="8"/>
        <v>2</v>
      </c>
      <c r="AN19" s="66">
        <f t="shared" si="8"/>
        <v>1.5</v>
      </c>
      <c r="AO19" s="66">
        <f t="shared" si="8"/>
        <v>2.5</v>
      </c>
      <c r="AU19" s="48"/>
      <c r="AV19" s="48"/>
      <c r="AW19" s="48"/>
      <c r="AX19" s="48"/>
      <c r="AY19" s="48"/>
    </row>
    <row r="20" spans="1:51">
      <c r="A20" s="1">
        <f t="shared" si="10"/>
        <v>0.49999999999999989</v>
      </c>
      <c r="B20" s="1">
        <f t="shared" si="1"/>
        <v>0.52083333333333326</v>
      </c>
      <c r="C20" s="17"/>
      <c r="D20" s="17"/>
      <c r="E20" s="18"/>
      <c r="F20" s="18"/>
      <c r="G20" s="18"/>
      <c r="H20" s="18"/>
      <c r="I20" s="18"/>
      <c r="J20" s="18"/>
      <c r="K20" s="18"/>
      <c r="L20" s="18"/>
      <c r="O20" s="24">
        <v>28</v>
      </c>
      <c r="P20" s="24">
        <v>95</v>
      </c>
      <c r="Q20" s="24">
        <v>38</v>
      </c>
      <c r="R20" s="25">
        <v>7</v>
      </c>
      <c r="S20" s="25">
        <f t="shared" si="2"/>
        <v>0</v>
      </c>
      <c r="T20" s="25">
        <f t="shared" si="2"/>
        <v>0</v>
      </c>
      <c r="U20" s="25">
        <f t="shared" si="2"/>
        <v>0</v>
      </c>
      <c r="V20" s="25">
        <v>2</v>
      </c>
      <c r="W20" s="25">
        <v>0</v>
      </c>
      <c r="X20" s="25">
        <f t="shared" si="2"/>
        <v>0</v>
      </c>
      <c r="Y20" s="26">
        <f t="shared" si="3"/>
        <v>73</v>
      </c>
      <c r="Z20" s="27">
        <f t="shared" si="4"/>
        <v>95</v>
      </c>
      <c r="AA20" s="27">
        <f t="shared" si="5"/>
        <v>2</v>
      </c>
      <c r="AB20" s="26">
        <f t="shared" si="6"/>
        <v>170</v>
      </c>
      <c r="AC20" s="28">
        <f t="shared" si="7"/>
        <v>109.5</v>
      </c>
      <c r="AG20" s="66">
        <f t="shared" si="8"/>
        <v>14</v>
      </c>
      <c r="AH20" s="66">
        <f t="shared" si="8"/>
        <v>47.5</v>
      </c>
      <c r="AI20" s="66">
        <f t="shared" si="8"/>
        <v>38</v>
      </c>
      <c r="AJ20" s="66">
        <f t="shared" si="8"/>
        <v>7</v>
      </c>
      <c r="AK20" s="66">
        <f t="shared" si="8"/>
        <v>0</v>
      </c>
      <c r="AL20" s="66">
        <f t="shared" si="8"/>
        <v>0</v>
      </c>
      <c r="AM20" s="66">
        <f t="shared" si="8"/>
        <v>0</v>
      </c>
      <c r="AN20" s="66">
        <f t="shared" si="8"/>
        <v>3</v>
      </c>
      <c r="AO20" s="66">
        <f t="shared" si="8"/>
        <v>0</v>
      </c>
      <c r="AU20" s="48"/>
      <c r="AV20" s="48"/>
      <c r="AW20" s="48"/>
      <c r="AX20" s="48"/>
      <c r="AY20" s="48"/>
    </row>
    <row r="21" spans="1:51">
      <c r="A21" s="2">
        <f t="shared" si="10"/>
        <v>0.52083333333333326</v>
      </c>
      <c r="B21" s="2">
        <f t="shared" si="1"/>
        <v>0.54166666666666663</v>
      </c>
      <c r="C21" s="19"/>
      <c r="D21" s="19"/>
      <c r="E21" s="20"/>
      <c r="F21" s="20"/>
      <c r="G21" s="20"/>
      <c r="H21" s="20"/>
      <c r="I21" s="20"/>
      <c r="J21" s="20"/>
      <c r="K21" s="20"/>
      <c r="L21" s="20"/>
      <c r="O21" s="29">
        <v>38</v>
      </c>
      <c r="P21" s="29">
        <v>154</v>
      </c>
      <c r="Q21" s="29">
        <v>51</v>
      </c>
      <c r="R21" s="30">
        <v>12</v>
      </c>
      <c r="S21" s="30">
        <f t="shared" si="2"/>
        <v>0</v>
      </c>
      <c r="T21" s="30">
        <v>1</v>
      </c>
      <c r="U21" s="30">
        <f t="shared" si="2"/>
        <v>0</v>
      </c>
      <c r="V21" s="30">
        <f t="shared" si="2"/>
        <v>0</v>
      </c>
      <c r="W21" s="30">
        <v>1</v>
      </c>
      <c r="X21" s="30">
        <f t="shared" si="2"/>
        <v>0</v>
      </c>
      <c r="Y21" s="31">
        <f t="shared" si="3"/>
        <v>101</v>
      </c>
      <c r="Z21" s="32">
        <f t="shared" si="4"/>
        <v>155</v>
      </c>
      <c r="AA21" s="32">
        <f t="shared" si="5"/>
        <v>1</v>
      </c>
      <c r="AB21" s="31">
        <f t="shared" si="6"/>
        <v>257</v>
      </c>
      <c r="AC21" s="33">
        <f t="shared" si="7"/>
        <v>163</v>
      </c>
      <c r="AG21" s="66">
        <f t="shared" si="8"/>
        <v>19</v>
      </c>
      <c r="AH21" s="66">
        <f t="shared" si="8"/>
        <v>77</v>
      </c>
      <c r="AI21" s="66">
        <f t="shared" si="8"/>
        <v>51</v>
      </c>
      <c r="AJ21" s="66">
        <f t="shared" si="8"/>
        <v>12</v>
      </c>
      <c r="AK21" s="66">
        <f t="shared" si="8"/>
        <v>0</v>
      </c>
      <c r="AL21" s="66">
        <f t="shared" si="8"/>
        <v>1.5</v>
      </c>
      <c r="AM21" s="66">
        <f t="shared" si="8"/>
        <v>0</v>
      </c>
      <c r="AN21" s="66">
        <f t="shared" si="8"/>
        <v>0</v>
      </c>
      <c r="AO21" s="66">
        <f t="shared" si="8"/>
        <v>2.5</v>
      </c>
      <c r="AU21" s="48"/>
      <c r="AV21" s="48"/>
      <c r="AW21" s="48"/>
      <c r="AX21" s="48"/>
      <c r="AY21" s="48"/>
    </row>
    <row r="22" spans="1:51">
      <c r="A22" s="3">
        <f t="shared" si="10"/>
        <v>0.54166666666666663</v>
      </c>
      <c r="B22" s="3">
        <f t="shared" si="1"/>
        <v>0.5625</v>
      </c>
      <c r="C22" s="21"/>
      <c r="D22" s="21"/>
      <c r="E22" s="22"/>
      <c r="F22" s="22"/>
      <c r="G22" s="22"/>
      <c r="H22" s="22"/>
      <c r="I22" s="22"/>
      <c r="J22" s="22"/>
      <c r="K22" s="22"/>
      <c r="L22" s="22"/>
      <c r="O22" s="34">
        <v>34</v>
      </c>
      <c r="P22" s="34">
        <v>160</v>
      </c>
      <c r="Q22" s="34">
        <v>47</v>
      </c>
      <c r="R22" s="35">
        <v>12</v>
      </c>
      <c r="S22" s="35">
        <v>1</v>
      </c>
      <c r="T22" s="35">
        <v>0</v>
      </c>
      <c r="U22" s="35">
        <f t="shared" si="2"/>
        <v>0</v>
      </c>
      <c r="V22" s="35">
        <f t="shared" si="2"/>
        <v>0</v>
      </c>
      <c r="W22" s="35">
        <v>1</v>
      </c>
      <c r="X22" s="35">
        <f t="shared" si="2"/>
        <v>0</v>
      </c>
      <c r="Y22" s="36">
        <f t="shared" si="3"/>
        <v>93</v>
      </c>
      <c r="Z22" s="37">
        <f t="shared" si="4"/>
        <v>161</v>
      </c>
      <c r="AA22" s="37">
        <f t="shared" si="5"/>
        <v>1</v>
      </c>
      <c r="AB22" s="36">
        <f t="shared" si="6"/>
        <v>255</v>
      </c>
      <c r="AC22" s="38">
        <f t="shared" si="7"/>
        <v>159.5</v>
      </c>
      <c r="AG22" s="66">
        <f t="shared" si="8"/>
        <v>17</v>
      </c>
      <c r="AH22" s="66">
        <f t="shared" si="8"/>
        <v>80</v>
      </c>
      <c r="AI22" s="66">
        <f t="shared" si="8"/>
        <v>47</v>
      </c>
      <c r="AJ22" s="66">
        <f t="shared" si="8"/>
        <v>12</v>
      </c>
      <c r="AK22" s="66">
        <f t="shared" si="8"/>
        <v>1</v>
      </c>
      <c r="AL22" s="66">
        <f t="shared" si="8"/>
        <v>0</v>
      </c>
      <c r="AM22" s="66">
        <f t="shared" si="8"/>
        <v>0</v>
      </c>
      <c r="AN22" s="66">
        <f t="shared" si="8"/>
        <v>0</v>
      </c>
      <c r="AO22" s="66">
        <f t="shared" si="8"/>
        <v>2.5</v>
      </c>
      <c r="AQ22" s="49">
        <f t="shared" ref="AQ22:AY22" si="13">SUM(O22:O25)</f>
        <v>161</v>
      </c>
      <c r="AR22" s="49">
        <f t="shared" si="13"/>
        <v>495</v>
      </c>
      <c r="AS22" s="49">
        <f t="shared" si="13"/>
        <v>146</v>
      </c>
      <c r="AT22" s="49">
        <f t="shared" si="13"/>
        <v>38</v>
      </c>
      <c r="AU22" s="49">
        <f t="shared" si="13"/>
        <v>1</v>
      </c>
      <c r="AV22" s="49">
        <f t="shared" si="13"/>
        <v>2</v>
      </c>
      <c r="AW22" s="49">
        <f t="shared" si="13"/>
        <v>0</v>
      </c>
      <c r="AX22" s="49">
        <f t="shared" si="13"/>
        <v>3</v>
      </c>
      <c r="AY22" s="49">
        <f t="shared" si="13"/>
        <v>6</v>
      </c>
    </row>
    <row r="23" spans="1:51">
      <c r="A23" s="1">
        <f t="shared" si="10"/>
        <v>0.5625</v>
      </c>
      <c r="B23" s="1">
        <f t="shared" si="1"/>
        <v>0.58333333333333337</v>
      </c>
      <c r="C23" s="17"/>
      <c r="D23" s="17"/>
      <c r="E23" s="18"/>
      <c r="F23" s="18"/>
      <c r="G23" s="18"/>
      <c r="H23" s="18"/>
      <c r="I23" s="18"/>
      <c r="J23" s="18"/>
      <c r="K23" s="18"/>
      <c r="L23" s="18"/>
      <c r="O23" s="24">
        <v>46</v>
      </c>
      <c r="P23" s="24">
        <v>114</v>
      </c>
      <c r="Q23" s="24">
        <v>25</v>
      </c>
      <c r="R23" s="25">
        <v>11</v>
      </c>
      <c r="S23" s="25">
        <f t="shared" si="2"/>
        <v>0</v>
      </c>
      <c r="T23" s="25">
        <v>1</v>
      </c>
      <c r="U23" s="25">
        <f t="shared" si="2"/>
        <v>0</v>
      </c>
      <c r="V23" s="25">
        <v>1</v>
      </c>
      <c r="W23" s="25">
        <v>1</v>
      </c>
      <c r="X23" s="25">
        <f t="shared" si="2"/>
        <v>0</v>
      </c>
      <c r="Y23" s="26">
        <f t="shared" si="3"/>
        <v>82</v>
      </c>
      <c r="Z23" s="27">
        <f t="shared" si="4"/>
        <v>115</v>
      </c>
      <c r="AA23" s="27">
        <f t="shared" si="5"/>
        <v>2</v>
      </c>
      <c r="AB23" s="26">
        <f t="shared" si="6"/>
        <v>199</v>
      </c>
      <c r="AC23" s="28">
        <f t="shared" si="7"/>
        <v>121.5</v>
      </c>
      <c r="AG23" s="66">
        <f t="shared" si="8"/>
        <v>23</v>
      </c>
      <c r="AH23" s="66">
        <f t="shared" si="8"/>
        <v>57</v>
      </c>
      <c r="AI23" s="66">
        <f t="shared" si="8"/>
        <v>25</v>
      </c>
      <c r="AJ23" s="66">
        <f t="shared" si="8"/>
        <v>11</v>
      </c>
      <c r="AK23" s="66">
        <f t="shared" si="8"/>
        <v>0</v>
      </c>
      <c r="AL23" s="66">
        <f t="shared" si="8"/>
        <v>1.5</v>
      </c>
      <c r="AM23" s="66">
        <f t="shared" si="8"/>
        <v>0</v>
      </c>
      <c r="AN23" s="66">
        <f t="shared" si="8"/>
        <v>1.5</v>
      </c>
      <c r="AO23" s="66">
        <f t="shared" si="8"/>
        <v>2.5</v>
      </c>
      <c r="AU23" s="48"/>
      <c r="AV23" s="48"/>
      <c r="AW23" s="48"/>
      <c r="AX23" s="48"/>
      <c r="AY23" s="48"/>
    </row>
    <row r="24" spans="1:51">
      <c r="A24" s="1">
        <f t="shared" si="10"/>
        <v>0.58333333333333337</v>
      </c>
      <c r="B24" s="1">
        <f t="shared" si="1"/>
        <v>0.60416666666666674</v>
      </c>
      <c r="C24" s="17"/>
      <c r="D24" s="17"/>
      <c r="E24" s="18"/>
      <c r="F24" s="18"/>
      <c r="G24" s="18"/>
      <c r="H24" s="18"/>
      <c r="I24" s="18"/>
      <c r="J24" s="18"/>
      <c r="K24" s="18"/>
      <c r="L24" s="18"/>
      <c r="O24" s="24">
        <v>44</v>
      </c>
      <c r="P24" s="24">
        <v>106</v>
      </c>
      <c r="Q24" s="24">
        <v>30</v>
      </c>
      <c r="R24" s="25">
        <v>8</v>
      </c>
      <c r="S24" s="25">
        <f t="shared" si="2"/>
        <v>0</v>
      </c>
      <c r="T24" s="25">
        <f t="shared" si="2"/>
        <v>0</v>
      </c>
      <c r="U24" s="25">
        <f t="shared" si="2"/>
        <v>0</v>
      </c>
      <c r="V24" s="25">
        <v>0</v>
      </c>
      <c r="W24" s="25">
        <v>3</v>
      </c>
      <c r="X24" s="25">
        <f t="shared" si="2"/>
        <v>0</v>
      </c>
      <c r="Y24" s="26">
        <f t="shared" si="3"/>
        <v>82</v>
      </c>
      <c r="Z24" s="27">
        <f t="shared" si="4"/>
        <v>106</v>
      </c>
      <c r="AA24" s="27">
        <f t="shared" si="5"/>
        <v>3</v>
      </c>
      <c r="AB24" s="26">
        <f t="shared" si="6"/>
        <v>191</v>
      </c>
      <c r="AC24" s="28">
        <f t="shared" si="7"/>
        <v>120.5</v>
      </c>
      <c r="AG24" s="66">
        <f t="shared" si="8"/>
        <v>22</v>
      </c>
      <c r="AH24" s="66">
        <f t="shared" si="8"/>
        <v>53</v>
      </c>
      <c r="AI24" s="66">
        <f t="shared" si="8"/>
        <v>30</v>
      </c>
      <c r="AJ24" s="66">
        <f t="shared" si="8"/>
        <v>8</v>
      </c>
      <c r="AK24" s="66">
        <f t="shared" si="8"/>
        <v>0</v>
      </c>
      <c r="AL24" s="66">
        <f t="shared" si="8"/>
        <v>0</v>
      </c>
      <c r="AM24" s="66">
        <f t="shared" si="8"/>
        <v>0</v>
      </c>
      <c r="AN24" s="66">
        <f t="shared" si="8"/>
        <v>0</v>
      </c>
      <c r="AO24" s="66">
        <f t="shared" si="8"/>
        <v>7.5</v>
      </c>
      <c r="AU24" s="48"/>
      <c r="AV24" s="48"/>
      <c r="AW24" s="48"/>
      <c r="AX24" s="48"/>
      <c r="AY24" s="48"/>
    </row>
    <row r="25" spans="1:51">
      <c r="A25" s="2">
        <f t="shared" si="10"/>
        <v>0.60416666666666674</v>
      </c>
      <c r="B25" s="2">
        <f t="shared" si="1"/>
        <v>0.62500000000000011</v>
      </c>
      <c r="C25" s="19"/>
      <c r="D25" s="19"/>
      <c r="E25" s="20"/>
      <c r="F25" s="20"/>
      <c r="G25" s="20"/>
      <c r="H25" s="20"/>
      <c r="I25" s="20"/>
      <c r="J25" s="20"/>
      <c r="K25" s="20"/>
      <c r="L25" s="20"/>
      <c r="O25" s="29">
        <v>37</v>
      </c>
      <c r="P25" s="29">
        <v>115</v>
      </c>
      <c r="Q25" s="29">
        <v>44</v>
      </c>
      <c r="R25" s="30">
        <v>7</v>
      </c>
      <c r="S25" s="30">
        <f t="shared" si="2"/>
        <v>0</v>
      </c>
      <c r="T25" s="30">
        <v>1</v>
      </c>
      <c r="U25" s="30">
        <f t="shared" si="2"/>
        <v>0</v>
      </c>
      <c r="V25" s="30">
        <v>2</v>
      </c>
      <c r="W25" s="30">
        <v>1</v>
      </c>
      <c r="X25" s="30">
        <f t="shared" si="2"/>
        <v>0</v>
      </c>
      <c r="Y25" s="31">
        <f t="shared" si="3"/>
        <v>88</v>
      </c>
      <c r="Z25" s="32">
        <f t="shared" si="4"/>
        <v>116</v>
      </c>
      <c r="AA25" s="32">
        <f t="shared" si="5"/>
        <v>3</v>
      </c>
      <c r="AB25" s="31">
        <f t="shared" si="6"/>
        <v>207</v>
      </c>
      <c r="AC25" s="33">
        <f t="shared" si="7"/>
        <v>134</v>
      </c>
      <c r="AG25" s="66">
        <f t="shared" si="8"/>
        <v>18.5</v>
      </c>
      <c r="AH25" s="66">
        <f t="shared" si="8"/>
        <v>57.5</v>
      </c>
      <c r="AI25" s="66">
        <f t="shared" si="8"/>
        <v>44</v>
      </c>
      <c r="AJ25" s="66">
        <f t="shared" si="8"/>
        <v>7</v>
      </c>
      <c r="AK25" s="66">
        <f t="shared" si="8"/>
        <v>0</v>
      </c>
      <c r="AL25" s="66">
        <f t="shared" si="8"/>
        <v>1.5</v>
      </c>
      <c r="AM25" s="66">
        <f t="shared" si="8"/>
        <v>0</v>
      </c>
      <c r="AN25" s="66">
        <f t="shared" si="8"/>
        <v>3</v>
      </c>
      <c r="AO25" s="66">
        <f t="shared" si="8"/>
        <v>2.5</v>
      </c>
      <c r="AU25" s="48"/>
      <c r="AV25" s="48"/>
      <c r="AW25" s="48"/>
      <c r="AX25" s="48"/>
      <c r="AY25" s="48"/>
    </row>
    <row r="26" spans="1:51">
      <c r="A26" s="3">
        <f t="shared" si="10"/>
        <v>0.62500000000000011</v>
      </c>
      <c r="B26" s="3">
        <f t="shared" si="1"/>
        <v>0.64583333333333348</v>
      </c>
      <c r="C26" s="21"/>
      <c r="D26" s="21"/>
      <c r="E26" s="22"/>
      <c r="F26" s="22"/>
      <c r="G26" s="22"/>
      <c r="H26" s="22"/>
      <c r="I26" s="22"/>
      <c r="J26" s="22"/>
      <c r="K26" s="22"/>
      <c r="L26" s="22"/>
      <c r="O26" s="34">
        <v>31</v>
      </c>
      <c r="P26" s="34">
        <v>115</v>
      </c>
      <c r="Q26" s="34">
        <v>30</v>
      </c>
      <c r="R26" s="35">
        <v>9</v>
      </c>
      <c r="S26" s="35">
        <f t="shared" ref="O26:X47" si="14">G26-G25</f>
        <v>0</v>
      </c>
      <c r="T26" s="35">
        <v>0</v>
      </c>
      <c r="U26" s="35">
        <f t="shared" si="14"/>
        <v>0</v>
      </c>
      <c r="V26" s="35">
        <v>4</v>
      </c>
      <c r="W26" s="35">
        <v>1</v>
      </c>
      <c r="X26" s="35">
        <f t="shared" si="14"/>
        <v>0</v>
      </c>
      <c r="Y26" s="36">
        <f t="shared" si="3"/>
        <v>70</v>
      </c>
      <c r="Z26" s="37">
        <f t="shared" si="4"/>
        <v>115</v>
      </c>
      <c r="AA26" s="37">
        <f t="shared" si="5"/>
        <v>5</v>
      </c>
      <c r="AB26" s="36">
        <f t="shared" si="6"/>
        <v>190</v>
      </c>
      <c r="AC26" s="38">
        <f t="shared" si="7"/>
        <v>120.5</v>
      </c>
      <c r="AG26" s="66">
        <f t="shared" si="8"/>
        <v>15.5</v>
      </c>
      <c r="AH26" s="66">
        <f t="shared" si="8"/>
        <v>57.5</v>
      </c>
      <c r="AI26" s="66">
        <f t="shared" si="8"/>
        <v>30</v>
      </c>
      <c r="AJ26" s="66">
        <f t="shared" si="8"/>
        <v>9</v>
      </c>
      <c r="AK26" s="66">
        <f t="shared" si="8"/>
        <v>0</v>
      </c>
      <c r="AL26" s="66">
        <f t="shared" si="8"/>
        <v>0</v>
      </c>
      <c r="AM26" s="66">
        <f t="shared" si="8"/>
        <v>0</v>
      </c>
      <c r="AN26" s="66">
        <f t="shared" si="8"/>
        <v>6</v>
      </c>
      <c r="AO26" s="66">
        <f t="shared" si="8"/>
        <v>2.5</v>
      </c>
      <c r="AQ26" s="49">
        <f t="shared" ref="AQ26:AY26" si="15">SUM(O26:O29)</f>
        <v>169</v>
      </c>
      <c r="AR26" s="49">
        <f t="shared" si="15"/>
        <v>448</v>
      </c>
      <c r="AS26" s="49">
        <f t="shared" si="15"/>
        <v>94</v>
      </c>
      <c r="AT26" s="49">
        <f t="shared" si="15"/>
        <v>43</v>
      </c>
      <c r="AU26" s="49">
        <f t="shared" si="15"/>
        <v>0</v>
      </c>
      <c r="AV26" s="49">
        <f t="shared" si="15"/>
        <v>2</v>
      </c>
      <c r="AW26" s="49">
        <f t="shared" si="15"/>
        <v>0</v>
      </c>
      <c r="AX26" s="49">
        <f t="shared" si="15"/>
        <v>9</v>
      </c>
      <c r="AY26" s="49">
        <f t="shared" si="15"/>
        <v>13</v>
      </c>
    </row>
    <row r="27" spans="1:51">
      <c r="A27" s="1">
        <f t="shared" si="10"/>
        <v>0.64583333333333348</v>
      </c>
      <c r="B27" s="1">
        <f t="shared" si="1"/>
        <v>0.66666666666666685</v>
      </c>
      <c r="C27" s="17"/>
      <c r="D27" s="17"/>
      <c r="E27" s="18"/>
      <c r="F27" s="18"/>
      <c r="G27" s="18"/>
      <c r="H27" s="18"/>
      <c r="I27" s="18"/>
      <c r="J27" s="18"/>
      <c r="K27" s="18"/>
      <c r="L27" s="18"/>
      <c r="O27" s="24">
        <v>46</v>
      </c>
      <c r="P27" s="24">
        <v>117</v>
      </c>
      <c r="Q27" s="24">
        <v>28</v>
      </c>
      <c r="R27" s="25">
        <v>14</v>
      </c>
      <c r="S27" s="25">
        <f t="shared" si="14"/>
        <v>0</v>
      </c>
      <c r="T27" s="25">
        <v>2</v>
      </c>
      <c r="U27" s="25">
        <f t="shared" si="14"/>
        <v>0</v>
      </c>
      <c r="V27" s="25">
        <v>4</v>
      </c>
      <c r="W27" s="25">
        <v>7</v>
      </c>
      <c r="X27" s="25">
        <f t="shared" si="14"/>
        <v>0</v>
      </c>
      <c r="Y27" s="26">
        <f t="shared" si="3"/>
        <v>88</v>
      </c>
      <c r="Z27" s="27">
        <f t="shared" si="4"/>
        <v>119</v>
      </c>
      <c r="AA27" s="27">
        <f t="shared" si="5"/>
        <v>11</v>
      </c>
      <c r="AB27" s="26">
        <f t="shared" si="6"/>
        <v>218</v>
      </c>
      <c r="AC27" s="28">
        <f t="shared" si="7"/>
        <v>150</v>
      </c>
      <c r="AG27" s="66">
        <f t="shared" si="8"/>
        <v>23</v>
      </c>
      <c r="AH27" s="66">
        <f t="shared" si="8"/>
        <v>58.5</v>
      </c>
      <c r="AI27" s="66">
        <f t="shared" si="8"/>
        <v>28</v>
      </c>
      <c r="AJ27" s="66">
        <f t="shared" si="8"/>
        <v>14</v>
      </c>
      <c r="AK27" s="66">
        <f t="shared" si="8"/>
        <v>0</v>
      </c>
      <c r="AL27" s="66">
        <f t="shared" si="8"/>
        <v>3</v>
      </c>
      <c r="AM27" s="66">
        <f t="shared" si="8"/>
        <v>0</v>
      </c>
      <c r="AN27" s="66">
        <f t="shared" si="8"/>
        <v>6</v>
      </c>
      <c r="AO27" s="66">
        <f t="shared" si="8"/>
        <v>17.5</v>
      </c>
      <c r="AU27" s="48"/>
      <c r="AV27" s="48"/>
      <c r="AW27" s="48"/>
      <c r="AX27" s="48"/>
      <c r="AY27" s="48"/>
    </row>
    <row r="28" spans="1:51">
      <c r="A28" s="1">
        <f t="shared" si="10"/>
        <v>0.66666666666666685</v>
      </c>
      <c r="B28" s="1">
        <f t="shared" si="1"/>
        <v>0.68750000000000022</v>
      </c>
      <c r="C28" s="17"/>
      <c r="D28" s="17"/>
      <c r="E28" s="18"/>
      <c r="F28" s="18"/>
      <c r="G28" s="18"/>
      <c r="H28" s="18"/>
      <c r="I28" s="18"/>
      <c r="J28" s="18"/>
      <c r="K28" s="18"/>
      <c r="L28" s="18"/>
      <c r="O28" s="24">
        <v>43</v>
      </c>
      <c r="P28" s="24">
        <v>116</v>
      </c>
      <c r="Q28" s="24">
        <v>19</v>
      </c>
      <c r="R28" s="25">
        <v>9</v>
      </c>
      <c r="S28" s="25">
        <f t="shared" si="14"/>
        <v>0</v>
      </c>
      <c r="T28" s="25">
        <f t="shared" si="14"/>
        <v>0</v>
      </c>
      <c r="U28" s="25">
        <f t="shared" si="14"/>
        <v>0</v>
      </c>
      <c r="V28" s="25">
        <v>1</v>
      </c>
      <c r="W28" s="25">
        <v>4</v>
      </c>
      <c r="X28" s="25">
        <f t="shared" si="14"/>
        <v>0</v>
      </c>
      <c r="Y28" s="26">
        <f t="shared" si="3"/>
        <v>71</v>
      </c>
      <c r="Z28" s="27">
        <f t="shared" si="4"/>
        <v>116</v>
      </c>
      <c r="AA28" s="27">
        <f t="shared" si="5"/>
        <v>5</v>
      </c>
      <c r="AB28" s="26">
        <f t="shared" si="6"/>
        <v>192</v>
      </c>
      <c r="AC28" s="28">
        <f t="shared" si="7"/>
        <v>119</v>
      </c>
      <c r="AG28" s="66">
        <f t="shared" si="8"/>
        <v>21.5</v>
      </c>
      <c r="AH28" s="66">
        <f t="shared" si="8"/>
        <v>58</v>
      </c>
      <c r="AI28" s="66">
        <f t="shared" si="8"/>
        <v>19</v>
      </c>
      <c r="AJ28" s="66">
        <f t="shared" si="8"/>
        <v>9</v>
      </c>
      <c r="AK28" s="66">
        <f t="shared" si="8"/>
        <v>0</v>
      </c>
      <c r="AL28" s="66">
        <f t="shared" si="8"/>
        <v>0</v>
      </c>
      <c r="AM28" s="66">
        <f t="shared" si="8"/>
        <v>0</v>
      </c>
      <c r="AN28" s="66">
        <f t="shared" si="8"/>
        <v>1.5</v>
      </c>
      <c r="AO28" s="66">
        <f t="shared" si="8"/>
        <v>10</v>
      </c>
      <c r="AU28" s="48"/>
      <c r="AV28" s="48"/>
      <c r="AW28" s="48"/>
      <c r="AX28" s="48"/>
      <c r="AY28" s="48"/>
    </row>
    <row r="29" spans="1:51" ht="15.75" thickBot="1">
      <c r="A29" s="4">
        <f t="shared" si="10"/>
        <v>0.68750000000000022</v>
      </c>
      <c r="B29" s="4">
        <f t="shared" si="1"/>
        <v>0.70833333333333359</v>
      </c>
      <c r="C29" s="19"/>
      <c r="D29" s="19"/>
      <c r="E29" s="20"/>
      <c r="F29" s="20"/>
      <c r="G29" s="20"/>
      <c r="H29" s="20"/>
      <c r="I29" s="20"/>
      <c r="J29" s="20"/>
      <c r="K29" s="20"/>
      <c r="L29" s="20"/>
      <c r="O29" s="39">
        <v>49</v>
      </c>
      <c r="P29" s="39">
        <v>100</v>
      </c>
      <c r="Q29" s="39">
        <v>17</v>
      </c>
      <c r="R29" s="40">
        <v>11</v>
      </c>
      <c r="S29" s="40">
        <f t="shared" si="14"/>
        <v>0</v>
      </c>
      <c r="T29" s="40">
        <f t="shared" si="14"/>
        <v>0</v>
      </c>
      <c r="U29" s="40">
        <f t="shared" si="14"/>
        <v>0</v>
      </c>
      <c r="V29" s="40">
        <v>0</v>
      </c>
      <c r="W29" s="40">
        <v>1</v>
      </c>
      <c r="X29" s="40">
        <f t="shared" si="14"/>
        <v>0</v>
      </c>
      <c r="Y29" s="41">
        <f t="shared" si="3"/>
        <v>77</v>
      </c>
      <c r="Z29" s="42">
        <f t="shared" si="4"/>
        <v>100</v>
      </c>
      <c r="AA29" s="42">
        <f t="shared" si="5"/>
        <v>1</v>
      </c>
      <c r="AB29" s="41">
        <f t="shared" si="6"/>
        <v>178</v>
      </c>
      <c r="AC29" s="43">
        <f t="shared" si="7"/>
        <v>105</v>
      </c>
      <c r="AG29" s="66">
        <f t="shared" si="8"/>
        <v>24.5</v>
      </c>
      <c r="AH29" s="66">
        <f t="shared" si="8"/>
        <v>50</v>
      </c>
      <c r="AI29" s="66">
        <f t="shared" si="8"/>
        <v>17</v>
      </c>
      <c r="AJ29" s="66">
        <f t="shared" si="8"/>
        <v>11</v>
      </c>
      <c r="AK29" s="66">
        <f t="shared" si="8"/>
        <v>0</v>
      </c>
      <c r="AL29" s="66">
        <f t="shared" si="8"/>
        <v>0</v>
      </c>
      <c r="AM29" s="66">
        <f t="shared" si="8"/>
        <v>0</v>
      </c>
      <c r="AN29" s="66">
        <f t="shared" si="8"/>
        <v>0</v>
      </c>
      <c r="AO29" s="66">
        <f t="shared" si="8"/>
        <v>2.5</v>
      </c>
      <c r="AU29" s="48"/>
      <c r="AV29" s="48"/>
      <c r="AW29" s="48"/>
      <c r="AX29" s="48"/>
      <c r="AY29" s="48"/>
    </row>
    <row r="30" spans="1:51">
      <c r="A30" s="3">
        <f t="shared" si="10"/>
        <v>0.70833333333333359</v>
      </c>
      <c r="B30" s="3">
        <f t="shared" si="1"/>
        <v>0.72916666666666696</v>
      </c>
      <c r="C30" s="21"/>
      <c r="D30" s="21"/>
      <c r="E30" s="22"/>
      <c r="F30" s="22"/>
      <c r="G30" s="22"/>
      <c r="H30" s="22"/>
      <c r="I30" s="22"/>
      <c r="J30" s="22"/>
      <c r="K30" s="22"/>
      <c r="L30" s="22"/>
      <c r="O30" s="34">
        <v>64</v>
      </c>
      <c r="P30" s="34">
        <v>187</v>
      </c>
      <c r="Q30" s="34">
        <v>30</v>
      </c>
      <c r="R30" s="35">
        <v>9</v>
      </c>
      <c r="S30" s="35">
        <v>1</v>
      </c>
      <c r="T30" s="35">
        <f t="shared" si="14"/>
        <v>0</v>
      </c>
      <c r="U30" s="35">
        <f t="shared" si="14"/>
        <v>0</v>
      </c>
      <c r="V30" s="35">
        <v>0</v>
      </c>
      <c r="W30" s="35">
        <v>0</v>
      </c>
      <c r="X30" s="35">
        <f t="shared" si="14"/>
        <v>0</v>
      </c>
      <c r="Y30" s="36">
        <f t="shared" si="3"/>
        <v>103</v>
      </c>
      <c r="Z30" s="37">
        <f t="shared" si="4"/>
        <v>188</v>
      </c>
      <c r="AA30" s="37">
        <f t="shared" si="5"/>
        <v>0</v>
      </c>
      <c r="AB30" s="36">
        <f t="shared" si="6"/>
        <v>291</v>
      </c>
      <c r="AC30" s="38">
        <f t="shared" si="7"/>
        <v>165.5</v>
      </c>
      <c r="AG30" s="66">
        <f t="shared" si="8"/>
        <v>32</v>
      </c>
      <c r="AH30" s="66">
        <f t="shared" si="8"/>
        <v>93.5</v>
      </c>
      <c r="AI30" s="66">
        <f t="shared" si="8"/>
        <v>30</v>
      </c>
      <c r="AJ30" s="66">
        <f t="shared" si="8"/>
        <v>9</v>
      </c>
      <c r="AK30" s="66">
        <f t="shared" si="8"/>
        <v>1</v>
      </c>
      <c r="AL30" s="66">
        <f t="shared" si="8"/>
        <v>0</v>
      </c>
      <c r="AM30" s="66">
        <f t="shared" si="8"/>
        <v>0</v>
      </c>
      <c r="AN30" s="66">
        <f t="shared" si="8"/>
        <v>0</v>
      </c>
      <c r="AO30" s="66">
        <f t="shared" si="8"/>
        <v>0</v>
      </c>
      <c r="AQ30" s="49">
        <f t="shared" ref="AQ30:AY30" si="16">SUM(O30:O33)</f>
        <v>196</v>
      </c>
      <c r="AR30" s="49">
        <f t="shared" si="16"/>
        <v>570</v>
      </c>
      <c r="AS30" s="49">
        <f t="shared" si="16"/>
        <v>62</v>
      </c>
      <c r="AT30" s="49">
        <f t="shared" si="16"/>
        <v>41</v>
      </c>
      <c r="AU30" s="49">
        <f t="shared" si="16"/>
        <v>1</v>
      </c>
      <c r="AV30" s="49">
        <f t="shared" si="16"/>
        <v>2</v>
      </c>
      <c r="AW30" s="49">
        <f t="shared" si="16"/>
        <v>0</v>
      </c>
      <c r="AX30" s="49">
        <f t="shared" si="16"/>
        <v>1</v>
      </c>
      <c r="AY30" s="49">
        <f t="shared" si="16"/>
        <v>6</v>
      </c>
    </row>
    <row r="31" spans="1:51">
      <c r="A31" s="1">
        <f t="shared" si="10"/>
        <v>0.72916666666666696</v>
      </c>
      <c r="B31" s="1">
        <f t="shared" si="1"/>
        <v>0.75000000000000033</v>
      </c>
      <c r="C31" s="17"/>
      <c r="D31" s="17"/>
      <c r="E31" s="18"/>
      <c r="F31" s="18"/>
      <c r="G31" s="18"/>
      <c r="H31" s="18"/>
      <c r="I31" s="18"/>
      <c r="J31" s="18"/>
      <c r="K31" s="18"/>
      <c r="L31" s="18"/>
      <c r="O31" s="24">
        <v>57</v>
      </c>
      <c r="P31" s="24">
        <v>146</v>
      </c>
      <c r="Q31" s="24">
        <v>16</v>
      </c>
      <c r="R31" s="25">
        <v>16</v>
      </c>
      <c r="S31" s="25">
        <f t="shared" si="14"/>
        <v>0</v>
      </c>
      <c r="T31" s="25">
        <v>1</v>
      </c>
      <c r="U31" s="25">
        <f t="shared" si="14"/>
        <v>0</v>
      </c>
      <c r="V31" s="25">
        <v>1</v>
      </c>
      <c r="W31" s="25">
        <v>2</v>
      </c>
      <c r="X31" s="25">
        <f t="shared" si="14"/>
        <v>0</v>
      </c>
      <c r="Y31" s="26">
        <f t="shared" si="3"/>
        <v>89</v>
      </c>
      <c r="Z31" s="27">
        <f t="shared" si="4"/>
        <v>147</v>
      </c>
      <c r="AA31" s="27">
        <f t="shared" si="5"/>
        <v>3</v>
      </c>
      <c r="AB31" s="26">
        <f t="shared" si="6"/>
        <v>239</v>
      </c>
      <c r="AC31" s="28">
        <f t="shared" si="7"/>
        <v>141.5</v>
      </c>
      <c r="AG31" s="66">
        <f t="shared" si="8"/>
        <v>28.5</v>
      </c>
      <c r="AH31" s="66">
        <f t="shared" si="8"/>
        <v>73</v>
      </c>
      <c r="AI31" s="66">
        <f t="shared" si="8"/>
        <v>16</v>
      </c>
      <c r="AJ31" s="66">
        <f t="shared" si="8"/>
        <v>16</v>
      </c>
      <c r="AK31" s="66">
        <f t="shared" si="8"/>
        <v>0</v>
      </c>
      <c r="AL31" s="66">
        <f t="shared" si="8"/>
        <v>1.5</v>
      </c>
      <c r="AM31" s="66">
        <f t="shared" si="8"/>
        <v>0</v>
      </c>
      <c r="AN31" s="66">
        <f t="shared" si="8"/>
        <v>1.5</v>
      </c>
      <c r="AO31" s="66">
        <f t="shared" si="8"/>
        <v>5</v>
      </c>
      <c r="AU31" s="48"/>
      <c r="AV31" s="48"/>
      <c r="AW31" s="48"/>
      <c r="AX31" s="48"/>
      <c r="AY31" s="48"/>
    </row>
    <row r="32" spans="1:51">
      <c r="A32" s="1">
        <f t="shared" si="10"/>
        <v>0.75000000000000033</v>
      </c>
      <c r="B32" s="1">
        <f t="shared" si="1"/>
        <v>0.7708333333333337</v>
      </c>
      <c r="C32" s="17"/>
      <c r="D32" s="17"/>
      <c r="E32" s="18"/>
      <c r="F32" s="18"/>
      <c r="G32" s="18"/>
      <c r="H32" s="18"/>
      <c r="I32" s="18"/>
      <c r="J32" s="18"/>
      <c r="K32" s="18"/>
      <c r="L32" s="18"/>
      <c r="O32" s="24">
        <v>44</v>
      </c>
      <c r="P32" s="24">
        <v>112</v>
      </c>
      <c r="Q32" s="24">
        <v>8</v>
      </c>
      <c r="R32" s="25">
        <v>12</v>
      </c>
      <c r="S32" s="25">
        <f t="shared" si="14"/>
        <v>0</v>
      </c>
      <c r="T32" s="25">
        <v>1</v>
      </c>
      <c r="U32" s="25">
        <f t="shared" si="14"/>
        <v>0</v>
      </c>
      <c r="V32" s="25">
        <f t="shared" si="14"/>
        <v>0</v>
      </c>
      <c r="W32" s="25">
        <v>1</v>
      </c>
      <c r="X32" s="25">
        <f t="shared" si="14"/>
        <v>0</v>
      </c>
      <c r="Y32" s="26">
        <f t="shared" si="3"/>
        <v>64</v>
      </c>
      <c r="Z32" s="27">
        <f t="shared" si="4"/>
        <v>113</v>
      </c>
      <c r="AA32" s="27">
        <f t="shared" si="5"/>
        <v>1</v>
      </c>
      <c r="AB32" s="26">
        <f t="shared" si="6"/>
        <v>178</v>
      </c>
      <c r="AC32" s="28">
        <f t="shared" si="7"/>
        <v>102</v>
      </c>
      <c r="AG32" s="66">
        <f t="shared" si="8"/>
        <v>22</v>
      </c>
      <c r="AH32" s="66">
        <f t="shared" si="8"/>
        <v>56</v>
      </c>
      <c r="AI32" s="66">
        <f t="shared" si="8"/>
        <v>8</v>
      </c>
      <c r="AJ32" s="66">
        <f t="shared" si="8"/>
        <v>12</v>
      </c>
      <c r="AK32" s="66">
        <f t="shared" si="8"/>
        <v>0</v>
      </c>
      <c r="AL32" s="66">
        <f t="shared" si="8"/>
        <v>1.5</v>
      </c>
      <c r="AM32" s="66">
        <f t="shared" si="8"/>
        <v>0</v>
      </c>
      <c r="AN32" s="66">
        <f t="shared" si="8"/>
        <v>0</v>
      </c>
      <c r="AO32" s="66">
        <f t="shared" si="8"/>
        <v>2.5</v>
      </c>
      <c r="AU32" s="48"/>
      <c r="AV32" s="48"/>
      <c r="AW32" s="48"/>
      <c r="AX32" s="48"/>
      <c r="AY32" s="48"/>
    </row>
    <row r="33" spans="1:51">
      <c r="A33" s="2">
        <f t="shared" si="10"/>
        <v>0.7708333333333337</v>
      </c>
      <c r="B33" s="2">
        <f t="shared" si="1"/>
        <v>0.79166666666666707</v>
      </c>
      <c r="C33" s="19"/>
      <c r="D33" s="19"/>
      <c r="E33" s="20"/>
      <c r="F33" s="20"/>
      <c r="G33" s="20"/>
      <c r="H33" s="20"/>
      <c r="I33" s="20"/>
      <c r="J33" s="20"/>
      <c r="K33" s="20"/>
      <c r="L33" s="20"/>
      <c r="O33" s="29">
        <v>31</v>
      </c>
      <c r="P33" s="29">
        <v>125</v>
      </c>
      <c r="Q33" s="29">
        <v>8</v>
      </c>
      <c r="R33" s="30">
        <v>4</v>
      </c>
      <c r="S33" s="30">
        <f t="shared" si="14"/>
        <v>0</v>
      </c>
      <c r="T33" s="30">
        <v>0</v>
      </c>
      <c r="U33" s="30">
        <f t="shared" si="14"/>
        <v>0</v>
      </c>
      <c r="V33" s="30">
        <f t="shared" si="14"/>
        <v>0</v>
      </c>
      <c r="W33" s="30">
        <v>3</v>
      </c>
      <c r="X33" s="30">
        <f t="shared" si="14"/>
        <v>0</v>
      </c>
      <c r="Y33" s="31">
        <f t="shared" si="3"/>
        <v>43</v>
      </c>
      <c r="Z33" s="32">
        <f t="shared" si="4"/>
        <v>125</v>
      </c>
      <c r="AA33" s="32">
        <f t="shared" si="5"/>
        <v>3</v>
      </c>
      <c r="AB33" s="31">
        <f t="shared" si="6"/>
        <v>171</v>
      </c>
      <c r="AC33" s="33">
        <f t="shared" si="7"/>
        <v>97.5</v>
      </c>
      <c r="AG33" s="66">
        <f t="shared" si="8"/>
        <v>15.5</v>
      </c>
      <c r="AH33" s="66">
        <f t="shared" si="8"/>
        <v>62.5</v>
      </c>
      <c r="AI33" s="66">
        <f t="shared" si="8"/>
        <v>8</v>
      </c>
      <c r="AJ33" s="66">
        <f t="shared" si="8"/>
        <v>4</v>
      </c>
      <c r="AK33" s="66">
        <f t="shared" si="8"/>
        <v>0</v>
      </c>
      <c r="AL33" s="66">
        <f t="shared" si="8"/>
        <v>0</v>
      </c>
      <c r="AM33" s="66">
        <f t="shared" si="8"/>
        <v>0</v>
      </c>
      <c r="AN33" s="66">
        <f t="shared" si="8"/>
        <v>0</v>
      </c>
      <c r="AO33" s="66">
        <f t="shared" si="8"/>
        <v>7.5</v>
      </c>
      <c r="AU33" s="48"/>
      <c r="AV33" s="48"/>
      <c r="AW33" s="48"/>
      <c r="AX33" s="48"/>
      <c r="AY33" s="48"/>
    </row>
    <row r="34" spans="1:51">
      <c r="A34" s="3">
        <f t="shared" si="10"/>
        <v>0.79166666666666707</v>
      </c>
      <c r="B34" s="3">
        <f t="shared" si="1"/>
        <v>0.81250000000000044</v>
      </c>
      <c r="C34" s="21"/>
      <c r="D34" s="21"/>
      <c r="E34" s="22"/>
      <c r="F34" s="22"/>
      <c r="G34" s="22"/>
      <c r="H34" s="22"/>
      <c r="I34" s="22"/>
      <c r="J34" s="22"/>
      <c r="K34" s="22"/>
      <c r="L34" s="22"/>
      <c r="O34" s="34">
        <v>24</v>
      </c>
      <c r="P34" s="34">
        <v>107</v>
      </c>
      <c r="Q34" s="34">
        <v>7</v>
      </c>
      <c r="R34" s="35">
        <v>3</v>
      </c>
      <c r="S34" s="35">
        <f t="shared" si="14"/>
        <v>0</v>
      </c>
      <c r="T34" s="35">
        <v>0</v>
      </c>
      <c r="U34" s="35">
        <f t="shared" si="14"/>
        <v>0</v>
      </c>
      <c r="V34" s="35">
        <f t="shared" si="14"/>
        <v>0</v>
      </c>
      <c r="W34" s="35">
        <v>0</v>
      </c>
      <c r="X34" s="35">
        <f t="shared" si="14"/>
        <v>0</v>
      </c>
      <c r="Y34" s="36">
        <f t="shared" si="3"/>
        <v>34</v>
      </c>
      <c r="Z34" s="37">
        <f t="shared" si="4"/>
        <v>107</v>
      </c>
      <c r="AA34" s="37">
        <f t="shared" si="5"/>
        <v>0</v>
      </c>
      <c r="AB34" s="36">
        <f t="shared" si="6"/>
        <v>141</v>
      </c>
      <c r="AC34" s="38">
        <f t="shared" si="7"/>
        <v>75.5</v>
      </c>
      <c r="AG34" s="66">
        <f t="shared" si="8"/>
        <v>12</v>
      </c>
      <c r="AH34" s="66">
        <f t="shared" si="8"/>
        <v>53.5</v>
      </c>
      <c r="AI34" s="66">
        <f t="shared" si="8"/>
        <v>7</v>
      </c>
      <c r="AJ34" s="66">
        <f t="shared" si="8"/>
        <v>3</v>
      </c>
      <c r="AK34" s="66">
        <f t="shared" si="8"/>
        <v>0</v>
      </c>
      <c r="AL34" s="66">
        <f t="shared" si="8"/>
        <v>0</v>
      </c>
      <c r="AM34" s="66">
        <f t="shared" si="8"/>
        <v>0</v>
      </c>
      <c r="AN34" s="66">
        <f t="shared" si="8"/>
        <v>0</v>
      </c>
      <c r="AO34" s="66">
        <f t="shared" si="8"/>
        <v>0</v>
      </c>
      <c r="AQ34" s="49">
        <f t="shared" ref="AQ34:AY34" si="17">SUM(O34:O37)</f>
        <v>66</v>
      </c>
      <c r="AR34" s="49">
        <f t="shared" si="17"/>
        <v>297</v>
      </c>
      <c r="AS34" s="49">
        <f t="shared" si="17"/>
        <v>22</v>
      </c>
      <c r="AT34" s="49">
        <f t="shared" si="17"/>
        <v>6</v>
      </c>
      <c r="AU34" s="49">
        <f t="shared" si="17"/>
        <v>0</v>
      </c>
      <c r="AV34" s="49">
        <f t="shared" si="17"/>
        <v>1</v>
      </c>
      <c r="AW34" s="49">
        <f t="shared" si="17"/>
        <v>0</v>
      </c>
      <c r="AX34" s="49">
        <f t="shared" si="17"/>
        <v>1</v>
      </c>
      <c r="AY34" s="49">
        <f t="shared" si="17"/>
        <v>2</v>
      </c>
    </row>
    <row r="35" spans="1:51">
      <c r="A35" s="1">
        <f t="shared" si="10"/>
        <v>0.81250000000000044</v>
      </c>
      <c r="B35" s="1">
        <f t="shared" si="1"/>
        <v>0.83333333333333381</v>
      </c>
      <c r="C35" s="17"/>
      <c r="D35" s="17"/>
      <c r="E35" s="18"/>
      <c r="F35" s="18"/>
      <c r="G35" s="18"/>
      <c r="H35" s="18"/>
      <c r="I35" s="18"/>
      <c r="J35" s="18"/>
      <c r="K35" s="18"/>
      <c r="L35" s="18"/>
      <c r="O35" s="24">
        <v>20</v>
      </c>
      <c r="P35" s="24">
        <v>74</v>
      </c>
      <c r="Q35" s="24">
        <v>6</v>
      </c>
      <c r="R35" s="25">
        <v>1</v>
      </c>
      <c r="S35" s="25">
        <f t="shared" si="14"/>
        <v>0</v>
      </c>
      <c r="T35" s="25">
        <v>1</v>
      </c>
      <c r="U35" s="25">
        <f t="shared" si="14"/>
        <v>0</v>
      </c>
      <c r="V35" s="25">
        <f t="shared" si="14"/>
        <v>0</v>
      </c>
      <c r="W35" s="25">
        <v>2</v>
      </c>
      <c r="X35" s="25">
        <f t="shared" si="14"/>
        <v>0</v>
      </c>
      <c r="Y35" s="26">
        <f t="shared" si="3"/>
        <v>27</v>
      </c>
      <c r="Z35" s="27">
        <f t="shared" si="4"/>
        <v>75</v>
      </c>
      <c r="AA35" s="27">
        <f t="shared" si="5"/>
        <v>2</v>
      </c>
      <c r="AB35" s="26">
        <f t="shared" si="6"/>
        <v>104</v>
      </c>
      <c r="AC35" s="28">
        <f t="shared" si="7"/>
        <v>60.5</v>
      </c>
      <c r="AG35" s="66">
        <f t="shared" si="8"/>
        <v>10</v>
      </c>
      <c r="AH35" s="66">
        <f t="shared" si="8"/>
        <v>37</v>
      </c>
      <c r="AI35" s="66">
        <f t="shared" si="8"/>
        <v>6</v>
      </c>
      <c r="AJ35" s="66">
        <f t="shared" si="8"/>
        <v>1</v>
      </c>
      <c r="AK35" s="66">
        <f t="shared" si="8"/>
        <v>0</v>
      </c>
      <c r="AL35" s="66">
        <f t="shared" si="8"/>
        <v>1.5</v>
      </c>
      <c r="AM35" s="66">
        <f t="shared" si="8"/>
        <v>0</v>
      </c>
      <c r="AN35" s="66">
        <f t="shared" si="8"/>
        <v>0</v>
      </c>
      <c r="AO35" s="66">
        <f t="shared" si="8"/>
        <v>5</v>
      </c>
      <c r="AU35" s="48"/>
      <c r="AV35" s="48"/>
      <c r="AW35" s="48"/>
      <c r="AX35" s="48"/>
      <c r="AY35" s="48"/>
    </row>
    <row r="36" spans="1:51">
      <c r="A36" s="1">
        <f t="shared" si="10"/>
        <v>0.83333333333333381</v>
      </c>
      <c r="B36" s="1">
        <f t="shared" si="1"/>
        <v>0.85416666666666718</v>
      </c>
      <c r="C36" s="17"/>
      <c r="D36" s="17"/>
      <c r="E36" s="18"/>
      <c r="F36" s="18"/>
      <c r="G36" s="18"/>
      <c r="H36" s="18"/>
      <c r="I36" s="18"/>
      <c r="J36" s="18"/>
      <c r="K36" s="18"/>
      <c r="L36" s="18"/>
      <c r="O36" s="24">
        <v>18</v>
      </c>
      <c r="P36" s="24">
        <v>70</v>
      </c>
      <c r="Q36" s="24">
        <v>5</v>
      </c>
      <c r="R36" s="25">
        <v>2</v>
      </c>
      <c r="S36" s="25">
        <f t="shared" si="14"/>
        <v>0</v>
      </c>
      <c r="T36" s="25">
        <f t="shared" si="14"/>
        <v>0</v>
      </c>
      <c r="U36" s="25">
        <f t="shared" si="14"/>
        <v>0</v>
      </c>
      <c r="V36" s="25">
        <f t="shared" si="14"/>
        <v>0</v>
      </c>
      <c r="W36" s="25">
        <v>0</v>
      </c>
      <c r="X36" s="25">
        <f t="shared" si="14"/>
        <v>0</v>
      </c>
      <c r="Y36" s="26">
        <f t="shared" si="3"/>
        <v>25</v>
      </c>
      <c r="Z36" s="27">
        <f t="shared" si="4"/>
        <v>70</v>
      </c>
      <c r="AA36" s="27">
        <f t="shared" si="5"/>
        <v>0</v>
      </c>
      <c r="AB36" s="26">
        <f t="shared" si="6"/>
        <v>95</v>
      </c>
      <c r="AC36" s="28">
        <f t="shared" si="7"/>
        <v>51</v>
      </c>
      <c r="AG36" s="66">
        <f t="shared" si="8"/>
        <v>9</v>
      </c>
      <c r="AH36" s="66">
        <f t="shared" si="8"/>
        <v>35</v>
      </c>
      <c r="AI36" s="66">
        <f t="shared" si="8"/>
        <v>5</v>
      </c>
      <c r="AJ36" s="66">
        <f t="shared" si="8"/>
        <v>2</v>
      </c>
      <c r="AK36" s="66">
        <f t="shared" si="8"/>
        <v>0</v>
      </c>
      <c r="AL36" s="66">
        <f t="shared" si="8"/>
        <v>0</v>
      </c>
      <c r="AM36" s="66">
        <f t="shared" si="8"/>
        <v>0</v>
      </c>
      <c r="AN36" s="66">
        <f t="shared" si="8"/>
        <v>0</v>
      </c>
      <c r="AO36" s="66">
        <f t="shared" si="8"/>
        <v>0</v>
      </c>
      <c r="AU36" s="48"/>
      <c r="AV36" s="48"/>
      <c r="AW36" s="48"/>
      <c r="AX36" s="48"/>
      <c r="AY36" s="48"/>
    </row>
    <row r="37" spans="1:51">
      <c r="A37" s="2">
        <f t="shared" si="10"/>
        <v>0.85416666666666718</v>
      </c>
      <c r="B37" s="2">
        <f t="shared" si="1"/>
        <v>0.87500000000000056</v>
      </c>
      <c r="C37" s="19"/>
      <c r="D37" s="19"/>
      <c r="E37" s="20"/>
      <c r="F37" s="20"/>
      <c r="G37" s="20"/>
      <c r="H37" s="20"/>
      <c r="I37" s="20"/>
      <c r="J37" s="20"/>
      <c r="K37" s="20"/>
      <c r="L37" s="20"/>
      <c r="O37" s="29">
        <v>4</v>
      </c>
      <c r="P37" s="29">
        <v>46</v>
      </c>
      <c r="Q37" s="29">
        <v>4</v>
      </c>
      <c r="R37" s="30">
        <v>0</v>
      </c>
      <c r="S37" s="30">
        <f t="shared" si="14"/>
        <v>0</v>
      </c>
      <c r="T37" s="30">
        <f t="shared" si="14"/>
        <v>0</v>
      </c>
      <c r="U37" s="30">
        <f t="shared" si="14"/>
        <v>0</v>
      </c>
      <c r="V37" s="30">
        <v>1</v>
      </c>
      <c r="W37" s="30">
        <v>0</v>
      </c>
      <c r="X37" s="30">
        <f t="shared" si="14"/>
        <v>0</v>
      </c>
      <c r="Y37" s="31">
        <f t="shared" si="3"/>
        <v>8</v>
      </c>
      <c r="Z37" s="32">
        <f t="shared" si="4"/>
        <v>46</v>
      </c>
      <c r="AA37" s="32">
        <f t="shared" si="5"/>
        <v>1</v>
      </c>
      <c r="AB37" s="31">
        <f t="shared" si="6"/>
        <v>55</v>
      </c>
      <c r="AC37" s="33">
        <f t="shared" si="7"/>
        <v>30.5</v>
      </c>
      <c r="AG37" s="66">
        <f t="shared" si="8"/>
        <v>2</v>
      </c>
      <c r="AH37" s="66">
        <f t="shared" si="8"/>
        <v>23</v>
      </c>
      <c r="AI37" s="66">
        <f t="shared" si="8"/>
        <v>4</v>
      </c>
      <c r="AJ37" s="66">
        <f t="shared" si="8"/>
        <v>0</v>
      </c>
      <c r="AK37" s="66">
        <f t="shared" si="8"/>
        <v>0</v>
      </c>
      <c r="AL37" s="66">
        <f t="shared" si="8"/>
        <v>0</v>
      </c>
      <c r="AM37" s="66">
        <f t="shared" si="8"/>
        <v>0</v>
      </c>
      <c r="AN37" s="66">
        <f t="shared" si="8"/>
        <v>1.5</v>
      </c>
      <c r="AO37" s="66">
        <f t="shared" si="8"/>
        <v>0</v>
      </c>
      <c r="AU37" s="48"/>
      <c r="AV37" s="48"/>
      <c r="AW37" s="48"/>
      <c r="AX37" s="48"/>
      <c r="AY37" s="48"/>
    </row>
    <row r="38" spans="1:51">
      <c r="A38" s="3">
        <f t="shared" si="10"/>
        <v>0.87500000000000056</v>
      </c>
      <c r="B38" s="3">
        <f t="shared" si="1"/>
        <v>0.89583333333333393</v>
      </c>
      <c r="C38" s="21"/>
      <c r="D38" s="21"/>
      <c r="E38" s="22"/>
      <c r="F38" s="22"/>
      <c r="G38" s="22"/>
      <c r="H38" s="22"/>
      <c r="I38" s="22"/>
      <c r="J38" s="22"/>
      <c r="K38" s="22"/>
      <c r="L38" s="22"/>
      <c r="O38" s="34">
        <f t="shared" si="14"/>
        <v>0</v>
      </c>
      <c r="P38" s="34">
        <f t="shared" si="14"/>
        <v>0</v>
      </c>
      <c r="Q38" s="34">
        <f t="shared" si="14"/>
        <v>0</v>
      </c>
      <c r="R38" s="35">
        <f t="shared" si="14"/>
        <v>0</v>
      </c>
      <c r="S38" s="35">
        <f t="shared" si="14"/>
        <v>0</v>
      </c>
      <c r="T38" s="35">
        <f t="shared" si="14"/>
        <v>0</v>
      </c>
      <c r="U38" s="35">
        <f t="shared" si="14"/>
        <v>0</v>
      </c>
      <c r="V38" s="35">
        <f t="shared" si="14"/>
        <v>0</v>
      </c>
      <c r="W38" s="35">
        <f t="shared" si="14"/>
        <v>0</v>
      </c>
      <c r="X38" s="35">
        <f t="shared" si="14"/>
        <v>0</v>
      </c>
      <c r="Y38" s="36">
        <f t="shared" si="3"/>
        <v>0</v>
      </c>
      <c r="Z38" s="37">
        <f t="shared" si="4"/>
        <v>0</v>
      </c>
      <c r="AA38" s="37">
        <f t="shared" si="5"/>
        <v>0</v>
      </c>
      <c r="AB38" s="36">
        <f t="shared" si="6"/>
        <v>0</v>
      </c>
      <c r="AC38" s="38">
        <f t="shared" si="7"/>
        <v>0</v>
      </c>
      <c r="AG38" s="66">
        <f t="shared" ref="AG38:AO65" si="18">O38*O$8</f>
        <v>0</v>
      </c>
      <c r="AH38" s="66">
        <f t="shared" si="18"/>
        <v>0</v>
      </c>
      <c r="AI38" s="66">
        <f t="shared" si="18"/>
        <v>0</v>
      </c>
      <c r="AJ38" s="66">
        <f t="shared" si="18"/>
        <v>0</v>
      </c>
      <c r="AK38" s="66">
        <f t="shared" si="18"/>
        <v>0</v>
      </c>
      <c r="AL38" s="66">
        <f t="shared" si="18"/>
        <v>0</v>
      </c>
      <c r="AM38" s="66">
        <f t="shared" si="18"/>
        <v>0</v>
      </c>
      <c r="AN38" s="66">
        <f t="shared" si="18"/>
        <v>0</v>
      </c>
      <c r="AO38" s="66">
        <f t="shared" si="18"/>
        <v>0</v>
      </c>
      <c r="AQ38" s="49">
        <f t="shared" ref="AQ38:AY38" si="19">SUM(O38:O41)</f>
        <v>0</v>
      </c>
      <c r="AR38" s="49">
        <f t="shared" si="19"/>
        <v>0</v>
      </c>
      <c r="AS38" s="49">
        <f t="shared" si="19"/>
        <v>0</v>
      </c>
      <c r="AT38" s="49">
        <f t="shared" si="19"/>
        <v>0</v>
      </c>
      <c r="AU38" s="49">
        <f t="shared" si="19"/>
        <v>0</v>
      </c>
      <c r="AV38" s="49">
        <f t="shared" si="19"/>
        <v>0</v>
      </c>
      <c r="AW38" s="49">
        <f t="shared" si="19"/>
        <v>0</v>
      </c>
      <c r="AX38" s="49">
        <f t="shared" si="19"/>
        <v>0</v>
      </c>
      <c r="AY38" s="49">
        <f t="shared" si="19"/>
        <v>0</v>
      </c>
    </row>
    <row r="39" spans="1:51">
      <c r="A39" s="1">
        <f t="shared" si="10"/>
        <v>0.89583333333333393</v>
      </c>
      <c r="B39" s="1">
        <f t="shared" si="1"/>
        <v>0.9166666666666673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O39" s="24">
        <f t="shared" si="14"/>
        <v>0</v>
      </c>
      <c r="P39" s="24">
        <f t="shared" si="14"/>
        <v>0</v>
      </c>
      <c r="Q39" s="24">
        <f t="shared" si="14"/>
        <v>0</v>
      </c>
      <c r="R39" s="25">
        <f t="shared" si="14"/>
        <v>0</v>
      </c>
      <c r="S39" s="25">
        <f t="shared" si="14"/>
        <v>0</v>
      </c>
      <c r="T39" s="25">
        <f t="shared" si="14"/>
        <v>0</v>
      </c>
      <c r="U39" s="25">
        <f t="shared" si="14"/>
        <v>0</v>
      </c>
      <c r="V39" s="25">
        <f t="shared" si="14"/>
        <v>0</v>
      </c>
      <c r="W39" s="25">
        <f t="shared" si="14"/>
        <v>0</v>
      </c>
      <c r="X39" s="25">
        <f t="shared" si="14"/>
        <v>0</v>
      </c>
      <c r="Y39" s="26">
        <f t="shared" si="3"/>
        <v>0</v>
      </c>
      <c r="Z39" s="27">
        <f t="shared" si="4"/>
        <v>0</v>
      </c>
      <c r="AA39" s="27">
        <f t="shared" si="5"/>
        <v>0</v>
      </c>
      <c r="AB39" s="26">
        <f t="shared" si="6"/>
        <v>0</v>
      </c>
      <c r="AC39" s="28">
        <f t="shared" si="7"/>
        <v>0</v>
      </c>
      <c r="AG39" s="66">
        <f t="shared" si="18"/>
        <v>0</v>
      </c>
      <c r="AH39" s="66">
        <f t="shared" si="18"/>
        <v>0</v>
      </c>
      <c r="AI39" s="66">
        <f t="shared" si="18"/>
        <v>0</v>
      </c>
      <c r="AJ39" s="66">
        <f t="shared" si="18"/>
        <v>0</v>
      </c>
      <c r="AK39" s="66">
        <f t="shared" si="18"/>
        <v>0</v>
      </c>
      <c r="AL39" s="66">
        <f t="shared" si="18"/>
        <v>0</v>
      </c>
      <c r="AM39" s="66">
        <f t="shared" si="18"/>
        <v>0</v>
      </c>
      <c r="AN39" s="66">
        <f t="shared" si="18"/>
        <v>0</v>
      </c>
      <c r="AO39" s="66">
        <f t="shared" si="18"/>
        <v>0</v>
      </c>
      <c r="AU39" s="48"/>
      <c r="AV39" s="48"/>
      <c r="AW39" s="48"/>
      <c r="AX39" s="48"/>
      <c r="AY39" s="48"/>
    </row>
    <row r="40" spans="1:51">
      <c r="A40" s="1">
        <f t="shared" si="10"/>
        <v>0.9166666666666673</v>
      </c>
      <c r="B40" s="1">
        <f t="shared" si="1"/>
        <v>0.93750000000000067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O40" s="24">
        <f t="shared" si="14"/>
        <v>0</v>
      </c>
      <c r="P40" s="24">
        <f t="shared" si="14"/>
        <v>0</v>
      </c>
      <c r="Q40" s="24">
        <f t="shared" si="14"/>
        <v>0</v>
      </c>
      <c r="R40" s="25">
        <f t="shared" si="14"/>
        <v>0</v>
      </c>
      <c r="S40" s="25">
        <f t="shared" si="14"/>
        <v>0</v>
      </c>
      <c r="T40" s="25">
        <f t="shared" si="14"/>
        <v>0</v>
      </c>
      <c r="U40" s="25">
        <f t="shared" si="14"/>
        <v>0</v>
      </c>
      <c r="V40" s="25">
        <f t="shared" si="14"/>
        <v>0</v>
      </c>
      <c r="W40" s="25">
        <f t="shared" si="14"/>
        <v>0</v>
      </c>
      <c r="X40" s="25">
        <f t="shared" si="14"/>
        <v>0</v>
      </c>
      <c r="Y40" s="26">
        <f t="shared" si="3"/>
        <v>0</v>
      </c>
      <c r="Z40" s="27">
        <f t="shared" si="4"/>
        <v>0</v>
      </c>
      <c r="AA40" s="27">
        <f t="shared" si="5"/>
        <v>0</v>
      </c>
      <c r="AB40" s="26">
        <f t="shared" si="6"/>
        <v>0</v>
      </c>
      <c r="AC40" s="28">
        <f t="shared" si="7"/>
        <v>0</v>
      </c>
      <c r="AG40" s="66">
        <f t="shared" si="18"/>
        <v>0</v>
      </c>
      <c r="AH40" s="66">
        <f t="shared" si="18"/>
        <v>0</v>
      </c>
      <c r="AI40" s="66">
        <f t="shared" si="18"/>
        <v>0</v>
      </c>
      <c r="AJ40" s="66">
        <f t="shared" si="18"/>
        <v>0</v>
      </c>
      <c r="AK40" s="66">
        <f t="shared" si="18"/>
        <v>0</v>
      </c>
      <c r="AL40" s="66">
        <f t="shared" si="18"/>
        <v>0</v>
      </c>
      <c r="AM40" s="66">
        <f t="shared" si="18"/>
        <v>0</v>
      </c>
      <c r="AN40" s="66">
        <f t="shared" si="18"/>
        <v>0</v>
      </c>
      <c r="AO40" s="66">
        <f t="shared" si="18"/>
        <v>0</v>
      </c>
      <c r="AU40" s="48"/>
      <c r="AV40" s="48"/>
      <c r="AW40" s="48"/>
      <c r="AX40" s="48"/>
      <c r="AY40" s="48"/>
    </row>
    <row r="41" spans="1:51" ht="15.75" thickBot="1">
      <c r="A41" s="4">
        <f t="shared" si="10"/>
        <v>0.93750000000000067</v>
      </c>
      <c r="B41" s="4">
        <f t="shared" si="1"/>
        <v>0.95833333333333404</v>
      </c>
      <c r="C41" s="19"/>
      <c r="D41" s="19"/>
      <c r="E41" s="20"/>
      <c r="F41" s="20"/>
      <c r="G41" s="20"/>
      <c r="H41" s="20"/>
      <c r="I41" s="20"/>
      <c r="J41" s="20"/>
      <c r="K41" s="20"/>
      <c r="L41" s="20"/>
      <c r="O41" s="39">
        <f t="shared" si="14"/>
        <v>0</v>
      </c>
      <c r="P41" s="39">
        <f t="shared" si="14"/>
        <v>0</v>
      </c>
      <c r="Q41" s="39">
        <f t="shared" si="14"/>
        <v>0</v>
      </c>
      <c r="R41" s="40">
        <f t="shared" si="14"/>
        <v>0</v>
      </c>
      <c r="S41" s="40">
        <f t="shared" si="14"/>
        <v>0</v>
      </c>
      <c r="T41" s="40">
        <f t="shared" si="14"/>
        <v>0</v>
      </c>
      <c r="U41" s="40">
        <f t="shared" si="14"/>
        <v>0</v>
      </c>
      <c r="V41" s="40">
        <f t="shared" si="14"/>
        <v>0</v>
      </c>
      <c r="W41" s="40">
        <f t="shared" si="14"/>
        <v>0</v>
      </c>
      <c r="X41" s="40">
        <f t="shared" si="14"/>
        <v>0</v>
      </c>
      <c r="Y41" s="41">
        <f t="shared" si="3"/>
        <v>0</v>
      </c>
      <c r="Z41" s="42">
        <f t="shared" si="4"/>
        <v>0</v>
      </c>
      <c r="AA41" s="42">
        <f t="shared" si="5"/>
        <v>0</v>
      </c>
      <c r="AB41" s="41">
        <f t="shared" si="6"/>
        <v>0</v>
      </c>
      <c r="AC41" s="43">
        <f t="shared" si="7"/>
        <v>0</v>
      </c>
      <c r="AG41" s="66">
        <f t="shared" si="18"/>
        <v>0</v>
      </c>
      <c r="AH41" s="66">
        <f t="shared" si="18"/>
        <v>0</v>
      </c>
      <c r="AI41" s="66">
        <f t="shared" si="18"/>
        <v>0</v>
      </c>
      <c r="AJ41" s="66">
        <f t="shared" si="18"/>
        <v>0</v>
      </c>
      <c r="AK41" s="66">
        <f t="shared" si="18"/>
        <v>0</v>
      </c>
      <c r="AL41" s="66">
        <f t="shared" si="18"/>
        <v>0</v>
      </c>
      <c r="AM41" s="66">
        <f t="shared" si="18"/>
        <v>0</v>
      </c>
      <c r="AN41" s="66">
        <f t="shared" si="18"/>
        <v>0</v>
      </c>
      <c r="AO41" s="66">
        <f t="shared" si="18"/>
        <v>0</v>
      </c>
      <c r="AU41" s="48"/>
      <c r="AV41" s="48"/>
      <c r="AW41" s="48"/>
      <c r="AX41" s="48"/>
      <c r="AY41" s="48"/>
    </row>
    <row r="42" spans="1:51">
      <c r="A42" s="3">
        <f t="shared" si="10"/>
        <v>0.95833333333333404</v>
      </c>
      <c r="B42" s="3">
        <f t="shared" si="1"/>
        <v>0.97916666666666741</v>
      </c>
      <c r="C42" s="21"/>
      <c r="D42" s="21"/>
      <c r="E42" s="22"/>
      <c r="F42" s="22"/>
      <c r="G42" s="22"/>
      <c r="H42" s="22"/>
      <c r="I42" s="22"/>
      <c r="J42" s="22"/>
      <c r="K42" s="22"/>
      <c r="L42" s="22"/>
      <c r="O42" s="34">
        <f t="shared" si="14"/>
        <v>0</v>
      </c>
      <c r="P42" s="34">
        <f t="shared" si="14"/>
        <v>0</v>
      </c>
      <c r="Q42" s="34">
        <f t="shared" si="14"/>
        <v>0</v>
      </c>
      <c r="R42" s="35">
        <f t="shared" si="14"/>
        <v>0</v>
      </c>
      <c r="S42" s="35">
        <f t="shared" si="14"/>
        <v>0</v>
      </c>
      <c r="T42" s="35">
        <f t="shared" si="14"/>
        <v>0</v>
      </c>
      <c r="U42" s="35">
        <f t="shared" si="14"/>
        <v>0</v>
      </c>
      <c r="V42" s="35">
        <f t="shared" si="14"/>
        <v>0</v>
      </c>
      <c r="W42" s="35">
        <f t="shared" si="14"/>
        <v>0</v>
      </c>
      <c r="X42" s="35">
        <f t="shared" si="14"/>
        <v>0</v>
      </c>
      <c r="Y42" s="36">
        <f t="shared" si="3"/>
        <v>0</v>
      </c>
      <c r="Z42" s="37">
        <f t="shared" si="4"/>
        <v>0</v>
      </c>
      <c r="AA42" s="37">
        <f t="shared" si="5"/>
        <v>0</v>
      </c>
      <c r="AB42" s="36">
        <f t="shared" si="6"/>
        <v>0</v>
      </c>
      <c r="AC42" s="38">
        <f t="shared" si="7"/>
        <v>0</v>
      </c>
      <c r="AG42" s="66">
        <f t="shared" si="18"/>
        <v>0</v>
      </c>
      <c r="AH42" s="66">
        <f t="shared" si="18"/>
        <v>0</v>
      </c>
      <c r="AI42" s="66">
        <f t="shared" si="18"/>
        <v>0</v>
      </c>
      <c r="AJ42" s="66">
        <f t="shared" si="18"/>
        <v>0</v>
      </c>
      <c r="AK42" s="66">
        <f t="shared" si="18"/>
        <v>0</v>
      </c>
      <c r="AL42" s="66">
        <f t="shared" si="18"/>
        <v>0</v>
      </c>
      <c r="AM42" s="66">
        <f t="shared" si="18"/>
        <v>0</v>
      </c>
      <c r="AN42" s="66">
        <f t="shared" si="18"/>
        <v>0</v>
      </c>
      <c r="AO42" s="66">
        <f t="shared" si="18"/>
        <v>0</v>
      </c>
      <c r="AQ42" s="49">
        <f t="shared" ref="AQ42:AY42" si="20">SUM(O42:O45)</f>
        <v>0</v>
      </c>
      <c r="AR42" s="49">
        <f t="shared" si="20"/>
        <v>0</v>
      </c>
      <c r="AS42" s="49">
        <f t="shared" si="20"/>
        <v>0</v>
      </c>
      <c r="AT42" s="49">
        <f t="shared" si="20"/>
        <v>0</v>
      </c>
      <c r="AU42" s="49">
        <f t="shared" si="20"/>
        <v>0</v>
      </c>
      <c r="AV42" s="49">
        <f t="shared" si="20"/>
        <v>0</v>
      </c>
      <c r="AW42" s="49">
        <f t="shared" si="20"/>
        <v>0</v>
      </c>
      <c r="AX42" s="49">
        <f t="shared" si="20"/>
        <v>0</v>
      </c>
      <c r="AY42" s="49">
        <f t="shared" si="20"/>
        <v>0</v>
      </c>
    </row>
    <row r="43" spans="1:51">
      <c r="A43" s="1">
        <f t="shared" si="10"/>
        <v>0.97916666666666741</v>
      </c>
      <c r="B43" s="1">
        <f t="shared" si="1"/>
        <v>1.0000000000000007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O43" s="24">
        <f t="shared" si="14"/>
        <v>0</v>
      </c>
      <c r="P43" s="24">
        <f t="shared" si="14"/>
        <v>0</v>
      </c>
      <c r="Q43" s="24">
        <f t="shared" si="14"/>
        <v>0</v>
      </c>
      <c r="R43" s="25">
        <f t="shared" si="14"/>
        <v>0</v>
      </c>
      <c r="S43" s="25">
        <f t="shared" si="14"/>
        <v>0</v>
      </c>
      <c r="T43" s="25">
        <f t="shared" si="14"/>
        <v>0</v>
      </c>
      <c r="U43" s="25">
        <f t="shared" si="14"/>
        <v>0</v>
      </c>
      <c r="V43" s="25">
        <f t="shared" si="14"/>
        <v>0</v>
      </c>
      <c r="W43" s="25">
        <f t="shared" si="14"/>
        <v>0</v>
      </c>
      <c r="X43" s="25">
        <f t="shared" si="14"/>
        <v>0</v>
      </c>
      <c r="Y43" s="26">
        <f t="shared" si="3"/>
        <v>0</v>
      </c>
      <c r="Z43" s="27">
        <f t="shared" si="4"/>
        <v>0</v>
      </c>
      <c r="AA43" s="27">
        <f t="shared" si="5"/>
        <v>0</v>
      </c>
      <c r="AB43" s="26">
        <f t="shared" si="6"/>
        <v>0</v>
      </c>
      <c r="AC43" s="28">
        <f t="shared" si="7"/>
        <v>0</v>
      </c>
      <c r="AG43" s="66">
        <f t="shared" si="18"/>
        <v>0</v>
      </c>
      <c r="AH43" s="66">
        <f t="shared" si="18"/>
        <v>0</v>
      </c>
      <c r="AI43" s="66">
        <f t="shared" si="18"/>
        <v>0</v>
      </c>
      <c r="AJ43" s="66">
        <f t="shared" si="18"/>
        <v>0</v>
      </c>
      <c r="AK43" s="66">
        <f t="shared" si="18"/>
        <v>0</v>
      </c>
      <c r="AL43" s="66">
        <f t="shared" si="18"/>
        <v>0</v>
      </c>
      <c r="AM43" s="66">
        <f t="shared" si="18"/>
        <v>0</v>
      </c>
      <c r="AN43" s="66">
        <f t="shared" si="18"/>
        <v>0</v>
      </c>
      <c r="AO43" s="66">
        <f t="shared" si="18"/>
        <v>0</v>
      </c>
      <c r="AU43" s="48"/>
      <c r="AV43" s="48"/>
      <c r="AW43" s="48"/>
      <c r="AX43" s="48"/>
      <c r="AY43" s="48"/>
    </row>
    <row r="44" spans="1:51">
      <c r="A44" s="1">
        <f t="shared" si="10"/>
        <v>1.0000000000000007</v>
      </c>
      <c r="B44" s="1">
        <f t="shared" si="1"/>
        <v>1.0208333333333339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O44" s="24">
        <f t="shared" si="14"/>
        <v>0</v>
      </c>
      <c r="P44" s="24">
        <f t="shared" si="14"/>
        <v>0</v>
      </c>
      <c r="Q44" s="24">
        <f t="shared" si="14"/>
        <v>0</v>
      </c>
      <c r="R44" s="25">
        <f t="shared" si="14"/>
        <v>0</v>
      </c>
      <c r="S44" s="25">
        <f t="shared" si="14"/>
        <v>0</v>
      </c>
      <c r="T44" s="25">
        <f t="shared" si="14"/>
        <v>0</v>
      </c>
      <c r="U44" s="25">
        <f t="shared" si="14"/>
        <v>0</v>
      </c>
      <c r="V44" s="25">
        <f t="shared" si="14"/>
        <v>0</v>
      </c>
      <c r="W44" s="25">
        <f t="shared" si="14"/>
        <v>0</v>
      </c>
      <c r="X44" s="25">
        <f t="shared" si="14"/>
        <v>0</v>
      </c>
      <c r="Y44" s="26">
        <f t="shared" si="3"/>
        <v>0</v>
      </c>
      <c r="Z44" s="27">
        <f t="shared" si="4"/>
        <v>0</v>
      </c>
      <c r="AA44" s="27">
        <f t="shared" si="5"/>
        <v>0</v>
      </c>
      <c r="AB44" s="26">
        <f t="shared" si="6"/>
        <v>0</v>
      </c>
      <c r="AC44" s="28">
        <f t="shared" si="7"/>
        <v>0</v>
      </c>
      <c r="AG44" s="66">
        <f t="shared" si="18"/>
        <v>0</v>
      </c>
      <c r="AH44" s="66">
        <f t="shared" si="18"/>
        <v>0</v>
      </c>
      <c r="AI44" s="66">
        <f t="shared" si="18"/>
        <v>0</v>
      </c>
      <c r="AJ44" s="66">
        <f t="shared" si="18"/>
        <v>0</v>
      </c>
      <c r="AK44" s="66">
        <f t="shared" si="18"/>
        <v>0</v>
      </c>
      <c r="AL44" s="66">
        <f t="shared" si="18"/>
        <v>0</v>
      </c>
      <c r="AM44" s="66">
        <f t="shared" si="18"/>
        <v>0</v>
      </c>
      <c r="AN44" s="66">
        <f t="shared" si="18"/>
        <v>0</v>
      </c>
      <c r="AO44" s="66">
        <f t="shared" si="18"/>
        <v>0</v>
      </c>
      <c r="AU44" s="48"/>
      <c r="AV44" s="48"/>
      <c r="AW44" s="48"/>
      <c r="AX44" s="48"/>
      <c r="AY44" s="48"/>
    </row>
    <row r="45" spans="1:51">
      <c r="A45" s="2">
        <f t="shared" si="10"/>
        <v>1.0208333333333339</v>
      </c>
      <c r="B45" s="2">
        <f t="shared" si="1"/>
        <v>1.0416666666666672</v>
      </c>
      <c r="C45" s="19"/>
      <c r="D45" s="19"/>
      <c r="E45" s="20"/>
      <c r="F45" s="20"/>
      <c r="G45" s="20"/>
      <c r="H45" s="20"/>
      <c r="I45" s="20"/>
      <c r="J45" s="20"/>
      <c r="K45" s="20"/>
      <c r="L45" s="20"/>
      <c r="O45" s="29">
        <f t="shared" si="14"/>
        <v>0</v>
      </c>
      <c r="P45" s="29">
        <f t="shared" si="14"/>
        <v>0</v>
      </c>
      <c r="Q45" s="29">
        <f t="shared" si="14"/>
        <v>0</v>
      </c>
      <c r="R45" s="30">
        <f t="shared" si="14"/>
        <v>0</v>
      </c>
      <c r="S45" s="30">
        <f t="shared" si="14"/>
        <v>0</v>
      </c>
      <c r="T45" s="30">
        <f t="shared" si="14"/>
        <v>0</v>
      </c>
      <c r="U45" s="30">
        <f t="shared" si="14"/>
        <v>0</v>
      </c>
      <c r="V45" s="30">
        <f t="shared" si="14"/>
        <v>0</v>
      </c>
      <c r="W45" s="30">
        <f t="shared" si="14"/>
        <v>0</v>
      </c>
      <c r="X45" s="30">
        <f t="shared" si="14"/>
        <v>0</v>
      </c>
      <c r="Y45" s="31">
        <f t="shared" si="3"/>
        <v>0</v>
      </c>
      <c r="Z45" s="32">
        <f t="shared" si="4"/>
        <v>0</v>
      </c>
      <c r="AA45" s="32">
        <f t="shared" si="5"/>
        <v>0</v>
      </c>
      <c r="AB45" s="31">
        <f t="shared" si="6"/>
        <v>0</v>
      </c>
      <c r="AC45" s="33">
        <f t="shared" si="7"/>
        <v>0</v>
      </c>
      <c r="AG45" s="66">
        <f t="shared" si="18"/>
        <v>0</v>
      </c>
      <c r="AH45" s="66">
        <f t="shared" si="18"/>
        <v>0</v>
      </c>
      <c r="AI45" s="66">
        <f t="shared" si="18"/>
        <v>0</v>
      </c>
      <c r="AJ45" s="66">
        <f t="shared" si="18"/>
        <v>0</v>
      </c>
      <c r="AK45" s="66">
        <f t="shared" si="18"/>
        <v>0</v>
      </c>
      <c r="AL45" s="66">
        <f t="shared" si="18"/>
        <v>0</v>
      </c>
      <c r="AM45" s="66">
        <f t="shared" si="18"/>
        <v>0</v>
      </c>
      <c r="AN45" s="66">
        <f t="shared" si="18"/>
        <v>0</v>
      </c>
      <c r="AO45" s="66">
        <f t="shared" si="18"/>
        <v>0</v>
      </c>
      <c r="AU45" s="48"/>
      <c r="AV45" s="48"/>
      <c r="AW45" s="48"/>
      <c r="AX45" s="48"/>
      <c r="AY45" s="48"/>
    </row>
    <row r="46" spans="1:51">
      <c r="A46" s="3">
        <f t="shared" si="10"/>
        <v>1.0416666666666672</v>
      </c>
      <c r="B46" s="3">
        <f t="shared" si="1"/>
        <v>1.0625000000000004</v>
      </c>
      <c r="C46" s="21"/>
      <c r="D46" s="21"/>
      <c r="E46" s="22"/>
      <c r="F46" s="22"/>
      <c r="G46" s="22"/>
      <c r="H46" s="22"/>
      <c r="I46" s="22"/>
      <c r="J46" s="22"/>
      <c r="K46" s="22"/>
      <c r="L46" s="22"/>
      <c r="O46" s="34">
        <f t="shared" si="14"/>
        <v>0</v>
      </c>
      <c r="P46" s="34">
        <f t="shared" si="14"/>
        <v>0</v>
      </c>
      <c r="Q46" s="34">
        <f t="shared" si="14"/>
        <v>0</v>
      </c>
      <c r="R46" s="35">
        <f t="shared" si="14"/>
        <v>0</v>
      </c>
      <c r="S46" s="35">
        <f t="shared" si="14"/>
        <v>0</v>
      </c>
      <c r="T46" s="35">
        <f t="shared" si="14"/>
        <v>0</v>
      </c>
      <c r="U46" s="35">
        <f t="shared" si="14"/>
        <v>0</v>
      </c>
      <c r="V46" s="35">
        <f t="shared" si="14"/>
        <v>0</v>
      </c>
      <c r="W46" s="35">
        <f t="shared" si="14"/>
        <v>0</v>
      </c>
      <c r="X46" s="35">
        <f t="shared" si="14"/>
        <v>0</v>
      </c>
      <c r="Y46" s="36">
        <f t="shared" si="3"/>
        <v>0</v>
      </c>
      <c r="Z46" s="37">
        <f t="shared" si="4"/>
        <v>0</v>
      </c>
      <c r="AA46" s="37">
        <f t="shared" si="5"/>
        <v>0</v>
      </c>
      <c r="AB46" s="36">
        <f t="shared" si="6"/>
        <v>0</v>
      </c>
      <c r="AC46" s="38">
        <f t="shared" si="7"/>
        <v>0</v>
      </c>
      <c r="AG46" s="66">
        <f t="shared" si="18"/>
        <v>0</v>
      </c>
      <c r="AH46" s="66">
        <f t="shared" si="18"/>
        <v>0</v>
      </c>
      <c r="AI46" s="66">
        <f t="shared" si="18"/>
        <v>0</v>
      </c>
      <c r="AJ46" s="66">
        <f t="shared" si="18"/>
        <v>0</v>
      </c>
      <c r="AK46" s="66">
        <f t="shared" si="18"/>
        <v>0</v>
      </c>
      <c r="AL46" s="66">
        <f t="shared" si="18"/>
        <v>0</v>
      </c>
      <c r="AM46" s="66">
        <f t="shared" si="18"/>
        <v>0</v>
      </c>
      <c r="AN46" s="66">
        <f t="shared" si="18"/>
        <v>0</v>
      </c>
      <c r="AO46" s="66">
        <f t="shared" si="18"/>
        <v>0</v>
      </c>
      <c r="AQ46" s="49">
        <f t="shared" ref="AQ46:AY46" si="21">SUM(O46:O49)</f>
        <v>0</v>
      </c>
      <c r="AR46" s="49">
        <f t="shared" si="21"/>
        <v>0</v>
      </c>
      <c r="AS46" s="49">
        <f t="shared" si="21"/>
        <v>0</v>
      </c>
      <c r="AT46" s="49">
        <f t="shared" si="21"/>
        <v>0</v>
      </c>
      <c r="AU46" s="49">
        <f t="shared" si="21"/>
        <v>0</v>
      </c>
      <c r="AV46" s="49">
        <f t="shared" si="21"/>
        <v>0</v>
      </c>
      <c r="AW46" s="49">
        <f t="shared" si="21"/>
        <v>0</v>
      </c>
      <c r="AX46" s="49">
        <f t="shared" si="21"/>
        <v>0</v>
      </c>
      <c r="AY46" s="49">
        <f t="shared" si="21"/>
        <v>0</v>
      </c>
    </row>
    <row r="47" spans="1:51">
      <c r="A47" s="1">
        <f t="shared" si="10"/>
        <v>1.0625000000000004</v>
      </c>
      <c r="B47" s="1">
        <f t="shared" si="1"/>
        <v>1.0833333333333337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O47" s="24">
        <f t="shared" si="14"/>
        <v>0</v>
      </c>
      <c r="P47" s="24">
        <f t="shared" si="14"/>
        <v>0</v>
      </c>
      <c r="Q47" s="24">
        <f t="shared" si="14"/>
        <v>0</v>
      </c>
      <c r="R47" s="25">
        <f t="shared" si="14"/>
        <v>0</v>
      </c>
      <c r="S47" s="25">
        <f t="shared" si="14"/>
        <v>0</v>
      </c>
      <c r="T47" s="25">
        <f t="shared" si="14"/>
        <v>0</v>
      </c>
      <c r="U47" s="25">
        <f t="shared" si="14"/>
        <v>0</v>
      </c>
      <c r="V47" s="25">
        <f t="shared" si="14"/>
        <v>0</v>
      </c>
      <c r="W47" s="25">
        <f t="shared" si="14"/>
        <v>0</v>
      </c>
      <c r="X47" s="25">
        <f t="shared" si="14"/>
        <v>0</v>
      </c>
      <c r="Y47" s="26">
        <f t="shared" si="3"/>
        <v>0</v>
      </c>
      <c r="Z47" s="27">
        <f t="shared" si="4"/>
        <v>0</v>
      </c>
      <c r="AA47" s="27">
        <f t="shared" si="5"/>
        <v>0</v>
      </c>
      <c r="AB47" s="26">
        <f t="shared" si="6"/>
        <v>0</v>
      </c>
      <c r="AC47" s="28">
        <f t="shared" si="7"/>
        <v>0</v>
      </c>
      <c r="AG47" s="66">
        <f t="shared" si="18"/>
        <v>0</v>
      </c>
      <c r="AH47" s="66">
        <f t="shared" si="18"/>
        <v>0</v>
      </c>
      <c r="AI47" s="66">
        <f t="shared" si="18"/>
        <v>0</v>
      </c>
      <c r="AJ47" s="66">
        <f t="shared" si="18"/>
        <v>0</v>
      </c>
      <c r="AK47" s="66">
        <f t="shared" si="18"/>
        <v>0</v>
      </c>
      <c r="AL47" s="66">
        <f t="shared" si="18"/>
        <v>0</v>
      </c>
      <c r="AM47" s="66">
        <f t="shared" si="18"/>
        <v>0</v>
      </c>
      <c r="AN47" s="66">
        <f t="shared" si="18"/>
        <v>0</v>
      </c>
      <c r="AO47" s="66">
        <f t="shared" si="18"/>
        <v>0</v>
      </c>
      <c r="AU47" s="48"/>
      <c r="AV47" s="48"/>
      <c r="AW47" s="48"/>
      <c r="AX47" s="48"/>
      <c r="AY47" s="48"/>
    </row>
    <row r="48" spans="1:51">
      <c r="A48" s="1">
        <f t="shared" si="10"/>
        <v>1.0833333333333337</v>
      </c>
      <c r="B48" s="1">
        <f t="shared" si="1"/>
        <v>1.104166666666667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O48" s="24">
        <f t="shared" ref="O48:X65" si="22">C48-C47</f>
        <v>0</v>
      </c>
      <c r="P48" s="24">
        <f t="shared" si="22"/>
        <v>0</v>
      </c>
      <c r="Q48" s="24">
        <f t="shared" si="22"/>
        <v>0</v>
      </c>
      <c r="R48" s="25">
        <f t="shared" si="22"/>
        <v>0</v>
      </c>
      <c r="S48" s="25">
        <f t="shared" si="22"/>
        <v>0</v>
      </c>
      <c r="T48" s="25">
        <f t="shared" si="22"/>
        <v>0</v>
      </c>
      <c r="U48" s="25">
        <f t="shared" si="22"/>
        <v>0</v>
      </c>
      <c r="V48" s="25">
        <f t="shared" si="22"/>
        <v>0</v>
      </c>
      <c r="W48" s="25">
        <f t="shared" si="22"/>
        <v>0</v>
      </c>
      <c r="X48" s="25">
        <f t="shared" si="22"/>
        <v>0</v>
      </c>
      <c r="Y48" s="26">
        <f t="shared" si="3"/>
        <v>0</v>
      </c>
      <c r="Z48" s="27">
        <f t="shared" si="4"/>
        <v>0</v>
      </c>
      <c r="AA48" s="27">
        <f t="shared" si="5"/>
        <v>0</v>
      </c>
      <c r="AB48" s="26">
        <f t="shared" si="6"/>
        <v>0</v>
      </c>
      <c r="AC48" s="28">
        <f t="shared" si="7"/>
        <v>0</v>
      </c>
      <c r="AG48" s="66">
        <f t="shared" si="18"/>
        <v>0</v>
      </c>
      <c r="AH48" s="66">
        <f t="shared" si="18"/>
        <v>0</v>
      </c>
      <c r="AI48" s="66">
        <f t="shared" si="18"/>
        <v>0</v>
      </c>
      <c r="AJ48" s="66">
        <f t="shared" si="18"/>
        <v>0</v>
      </c>
      <c r="AK48" s="66">
        <f t="shared" si="18"/>
        <v>0</v>
      </c>
      <c r="AL48" s="66">
        <f t="shared" si="18"/>
        <v>0</v>
      </c>
      <c r="AM48" s="66">
        <f t="shared" si="18"/>
        <v>0</v>
      </c>
      <c r="AN48" s="66">
        <f t="shared" si="18"/>
        <v>0</v>
      </c>
      <c r="AO48" s="66">
        <f t="shared" si="18"/>
        <v>0</v>
      </c>
      <c r="AU48" s="48"/>
      <c r="AV48" s="48"/>
      <c r="AW48" s="48"/>
      <c r="AX48" s="48"/>
      <c r="AY48" s="48"/>
    </row>
    <row r="49" spans="1:51">
      <c r="A49" s="2">
        <f t="shared" si="10"/>
        <v>1.104166666666667</v>
      </c>
      <c r="B49" s="2">
        <f t="shared" si="1"/>
        <v>1.1250000000000002</v>
      </c>
      <c r="C49" s="19"/>
      <c r="D49" s="19"/>
      <c r="E49" s="20"/>
      <c r="F49" s="20"/>
      <c r="G49" s="20"/>
      <c r="H49" s="20"/>
      <c r="I49" s="20"/>
      <c r="J49" s="20"/>
      <c r="K49" s="20"/>
      <c r="L49" s="20"/>
      <c r="O49" s="29">
        <f t="shared" si="22"/>
        <v>0</v>
      </c>
      <c r="P49" s="29">
        <f t="shared" si="22"/>
        <v>0</v>
      </c>
      <c r="Q49" s="29">
        <f t="shared" si="22"/>
        <v>0</v>
      </c>
      <c r="R49" s="30">
        <f t="shared" si="22"/>
        <v>0</v>
      </c>
      <c r="S49" s="30">
        <f t="shared" si="22"/>
        <v>0</v>
      </c>
      <c r="T49" s="30">
        <f t="shared" si="22"/>
        <v>0</v>
      </c>
      <c r="U49" s="30">
        <f t="shared" si="22"/>
        <v>0</v>
      </c>
      <c r="V49" s="30">
        <f t="shared" si="22"/>
        <v>0</v>
      </c>
      <c r="W49" s="30">
        <f t="shared" si="22"/>
        <v>0</v>
      </c>
      <c r="X49" s="30">
        <f t="shared" si="22"/>
        <v>0</v>
      </c>
      <c r="Y49" s="31">
        <f t="shared" si="3"/>
        <v>0</v>
      </c>
      <c r="Z49" s="32">
        <f t="shared" si="4"/>
        <v>0</v>
      </c>
      <c r="AA49" s="32">
        <f t="shared" si="5"/>
        <v>0</v>
      </c>
      <c r="AB49" s="31">
        <f t="shared" si="6"/>
        <v>0</v>
      </c>
      <c r="AC49" s="33">
        <f t="shared" si="7"/>
        <v>0</v>
      </c>
      <c r="AG49" s="66">
        <f t="shared" si="18"/>
        <v>0</v>
      </c>
      <c r="AH49" s="66">
        <f t="shared" si="18"/>
        <v>0</v>
      </c>
      <c r="AI49" s="66">
        <f t="shared" si="18"/>
        <v>0</v>
      </c>
      <c r="AJ49" s="66">
        <f t="shared" si="18"/>
        <v>0</v>
      </c>
      <c r="AK49" s="66">
        <f t="shared" si="18"/>
        <v>0</v>
      </c>
      <c r="AL49" s="66">
        <f t="shared" si="18"/>
        <v>0</v>
      </c>
      <c r="AM49" s="66">
        <f t="shared" si="18"/>
        <v>0</v>
      </c>
      <c r="AN49" s="66">
        <f t="shared" si="18"/>
        <v>0</v>
      </c>
      <c r="AO49" s="66">
        <f t="shared" si="18"/>
        <v>0</v>
      </c>
      <c r="AU49" s="48"/>
      <c r="AV49" s="48"/>
      <c r="AW49" s="48"/>
      <c r="AX49" s="48"/>
      <c r="AY49" s="48"/>
    </row>
    <row r="50" spans="1:51">
      <c r="A50" s="3">
        <f t="shared" si="10"/>
        <v>1.1250000000000002</v>
      </c>
      <c r="B50" s="3">
        <f t="shared" si="1"/>
        <v>1.1458333333333335</v>
      </c>
      <c r="C50" s="21"/>
      <c r="D50" s="21"/>
      <c r="E50" s="22"/>
      <c r="F50" s="22"/>
      <c r="G50" s="22"/>
      <c r="H50" s="22"/>
      <c r="I50" s="22"/>
      <c r="J50" s="22"/>
      <c r="K50" s="22"/>
      <c r="L50" s="22"/>
      <c r="O50" s="34">
        <f t="shared" si="22"/>
        <v>0</v>
      </c>
      <c r="P50" s="34">
        <f t="shared" si="22"/>
        <v>0</v>
      </c>
      <c r="Q50" s="34">
        <f t="shared" si="22"/>
        <v>0</v>
      </c>
      <c r="R50" s="35">
        <f t="shared" si="22"/>
        <v>0</v>
      </c>
      <c r="S50" s="35">
        <f t="shared" si="22"/>
        <v>0</v>
      </c>
      <c r="T50" s="35">
        <f t="shared" si="22"/>
        <v>0</v>
      </c>
      <c r="U50" s="35">
        <f t="shared" si="22"/>
        <v>0</v>
      </c>
      <c r="V50" s="35">
        <f t="shared" si="22"/>
        <v>0</v>
      </c>
      <c r="W50" s="35">
        <f t="shared" si="22"/>
        <v>0</v>
      </c>
      <c r="X50" s="35">
        <f t="shared" si="22"/>
        <v>0</v>
      </c>
      <c r="Y50" s="36">
        <f t="shared" si="3"/>
        <v>0</v>
      </c>
      <c r="Z50" s="37">
        <f t="shared" si="4"/>
        <v>0</v>
      </c>
      <c r="AA50" s="37">
        <f t="shared" si="5"/>
        <v>0</v>
      </c>
      <c r="AB50" s="36">
        <f t="shared" si="6"/>
        <v>0</v>
      </c>
      <c r="AC50" s="38">
        <f t="shared" si="7"/>
        <v>0</v>
      </c>
      <c r="AG50" s="66">
        <f t="shared" si="18"/>
        <v>0</v>
      </c>
      <c r="AH50" s="66">
        <f t="shared" si="18"/>
        <v>0</v>
      </c>
      <c r="AI50" s="66">
        <f t="shared" si="18"/>
        <v>0</v>
      </c>
      <c r="AJ50" s="66">
        <f t="shared" si="18"/>
        <v>0</v>
      </c>
      <c r="AK50" s="66">
        <f t="shared" si="18"/>
        <v>0</v>
      </c>
      <c r="AL50" s="66">
        <f t="shared" si="18"/>
        <v>0</v>
      </c>
      <c r="AM50" s="66">
        <f t="shared" si="18"/>
        <v>0</v>
      </c>
      <c r="AN50" s="66">
        <f t="shared" si="18"/>
        <v>0</v>
      </c>
      <c r="AO50" s="66">
        <f t="shared" si="18"/>
        <v>0</v>
      </c>
      <c r="AQ50" s="49">
        <f t="shared" ref="AQ50:AY50" si="23">SUM(O50:O53)</f>
        <v>0</v>
      </c>
      <c r="AR50" s="49">
        <f t="shared" si="23"/>
        <v>0</v>
      </c>
      <c r="AS50" s="49">
        <f t="shared" si="23"/>
        <v>0</v>
      </c>
      <c r="AT50" s="49">
        <f t="shared" si="23"/>
        <v>0</v>
      </c>
      <c r="AU50" s="49">
        <f t="shared" si="23"/>
        <v>0</v>
      </c>
      <c r="AV50" s="49">
        <f t="shared" si="23"/>
        <v>0</v>
      </c>
      <c r="AW50" s="49">
        <f t="shared" si="23"/>
        <v>0</v>
      </c>
      <c r="AX50" s="49">
        <f t="shared" si="23"/>
        <v>0</v>
      </c>
      <c r="AY50" s="49">
        <f t="shared" si="23"/>
        <v>0</v>
      </c>
    </row>
    <row r="51" spans="1:51">
      <c r="A51" s="1">
        <f t="shared" si="10"/>
        <v>1.1458333333333335</v>
      </c>
      <c r="B51" s="1">
        <f t="shared" si="1"/>
        <v>1.1666666666666667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O51" s="24">
        <f t="shared" si="22"/>
        <v>0</v>
      </c>
      <c r="P51" s="24">
        <f t="shared" si="22"/>
        <v>0</v>
      </c>
      <c r="Q51" s="24">
        <f t="shared" si="22"/>
        <v>0</v>
      </c>
      <c r="R51" s="25">
        <f t="shared" si="22"/>
        <v>0</v>
      </c>
      <c r="S51" s="25">
        <f t="shared" si="22"/>
        <v>0</v>
      </c>
      <c r="T51" s="25">
        <f t="shared" si="22"/>
        <v>0</v>
      </c>
      <c r="U51" s="25">
        <f t="shared" si="22"/>
        <v>0</v>
      </c>
      <c r="V51" s="25">
        <f t="shared" si="22"/>
        <v>0</v>
      </c>
      <c r="W51" s="25">
        <f t="shared" si="22"/>
        <v>0</v>
      </c>
      <c r="X51" s="25">
        <f t="shared" si="22"/>
        <v>0</v>
      </c>
      <c r="Y51" s="26">
        <f t="shared" si="3"/>
        <v>0</v>
      </c>
      <c r="Z51" s="27">
        <f t="shared" si="4"/>
        <v>0</v>
      </c>
      <c r="AA51" s="27">
        <f t="shared" si="5"/>
        <v>0</v>
      </c>
      <c r="AB51" s="26">
        <f t="shared" si="6"/>
        <v>0</v>
      </c>
      <c r="AC51" s="28">
        <f t="shared" si="7"/>
        <v>0</v>
      </c>
      <c r="AG51" s="66">
        <f t="shared" si="18"/>
        <v>0</v>
      </c>
      <c r="AH51" s="66">
        <f t="shared" si="18"/>
        <v>0</v>
      </c>
      <c r="AI51" s="66">
        <f t="shared" si="18"/>
        <v>0</v>
      </c>
      <c r="AJ51" s="66">
        <f t="shared" si="18"/>
        <v>0</v>
      </c>
      <c r="AK51" s="66">
        <f t="shared" si="18"/>
        <v>0</v>
      </c>
      <c r="AL51" s="66">
        <f t="shared" si="18"/>
        <v>0</v>
      </c>
      <c r="AM51" s="66">
        <f t="shared" si="18"/>
        <v>0</v>
      </c>
      <c r="AN51" s="66">
        <f t="shared" si="18"/>
        <v>0</v>
      </c>
      <c r="AO51" s="66">
        <f t="shared" si="18"/>
        <v>0</v>
      </c>
      <c r="AU51" s="48"/>
      <c r="AV51" s="48"/>
      <c r="AW51" s="48"/>
      <c r="AX51" s="48"/>
      <c r="AY51" s="48"/>
    </row>
    <row r="52" spans="1:51">
      <c r="A52" s="1">
        <f t="shared" si="10"/>
        <v>1.1666666666666667</v>
      </c>
      <c r="B52" s="1">
        <f t="shared" si="1"/>
        <v>1.1875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O52" s="24">
        <f t="shared" si="22"/>
        <v>0</v>
      </c>
      <c r="P52" s="24">
        <f t="shared" si="22"/>
        <v>0</v>
      </c>
      <c r="Q52" s="24">
        <f t="shared" si="22"/>
        <v>0</v>
      </c>
      <c r="R52" s="25">
        <f t="shared" si="22"/>
        <v>0</v>
      </c>
      <c r="S52" s="25">
        <f t="shared" si="22"/>
        <v>0</v>
      </c>
      <c r="T52" s="25">
        <f t="shared" si="22"/>
        <v>0</v>
      </c>
      <c r="U52" s="25">
        <f t="shared" si="22"/>
        <v>0</v>
      </c>
      <c r="V52" s="25">
        <f t="shared" si="22"/>
        <v>0</v>
      </c>
      <c r="W52" s="25">
        <f t="shared" si="22"/>
        <v>0</v>
      </c>
      <c r="X52" s="25">
        <f t="shared" si="22"/>
        <v>0</v>
      </c>
      <c r="Y52" s="26">
        <f t="shared" si="3"/>
        <v>0</v>
      </c>
      <c r="Z52" s="27">
        <f t="shared" si="4"/>
        <v>0</v>
      </c>
      <c r="AA52" s="27">
        <f t="shared" si="5"/>
        <v>0</v>
      </c>
      <c r="AB52" s="26">
        <f t="shared" si="6"/>
        <v>0</v>
      </c>
      <c r="AC52" s="28">
        <f t="shared" si="7"/>
        <v>0</v>
      </c>
      <c r="AG52" s="66">
        <f t="shared" si="18"/>
        <v>0</v>
      </c>
      <c r="AH52" s="66">
        <f t="shared" si="18"/>
        <v>0</v>
      </c>
      <c r="AI52" s="66">
        <f t="shared" si="18"/>
        <v>0</v>
      </c>
      <c r="AJ52" s="66">
        <f t="shared" si="18"/>
        <v>0</v>
      </c>
      <c r="AK52" s="66">
        <f t="shared" si="18"/>
        <v>0</v>
      </c>
      <c r="AL52" s="66">
        <f t="shared" si="18"/>
        <v>0</v>
      </c>
      <c r="AM52" s="66">
        <f t="shared" si="18"/>
        <v>0</v>
      </c>
      <c r="AN52" s="66">
        <f t="shared" si="18"/>
        <v>0</v>
      </c>
      <c r="AO52" s="66">
        <f t="shared" si="18"/>
        <v>0</v>
      </c>
      <c r="AU52" s="48"/>
      <c r="AV52" s="48"/>
      <c r="AW52" s="48"/>
      <c r="AX52" s="48"/>
      <c r="AY52" s="48"/>
    </row>
    <row r="53" spans="1:51" ht="15.75" thickBot="1">
      <c r="A53" s="4">
        <f t="shared" si="10"/>
        <v>1.1875</v>
      </c>
      <c r="B53" s="4">
        <f t="shared" si="1"/>
        <v>1.2083333333333333</v>
      </c>
      <c r="C53" s="19"/>
      <c r="D53" s="19"/>
      <c r="E53" s="20"/>
      <c r="F53" s="20"/>
      <c r="G53" s="20"/>
      <c r="H53" s="20"/>
      <c r="I53" s="20"/>
      <c r="J53" s="20"/>
      <c r="K53" s="20"/>
      <c r="L53" s="20"/>
      <c r="O53" s="39">
        <f t="shared" si="22"/>
        <v>0</v>
      </c>
      <c r="P53" s="39">
        <f t="shared" si="22"/>
        <v>0</v>
      </c>
      <c r="Q53" s="39">
        <f t="shared" si="22"/>
        <v>0</v>
      </c>
      <c r="R53" s="40">
        <f t="shared" si="22"/>
        <v>0</v>
      </c>
      <c r="S53" s="40">
        <f t="shared" si="22"/>
        <v>0</v>
      </c>
      <c r="T53" s="40">
        <f t="shared" si="22"/>
        <v>0</v>
      </c>
      <c r="U53" s="40">
        <f t="shared" si="22"/>
        <v>0</v>
      </c>
      <c r="V53" s="40">
        <f t="shared" si="22"/>
        <v>0</v>
      </c>
      <c r="W53" s="40">
        <f t="shared" si="22"/>
        <v>0</v>
      </c>
      <c r="X53" s="40">
        <f t="shared" si="22"/>
        <v>0</v>
      </c>
      <c r="Y53" s="41">
        <f t="shared" si="3"/>
        <v>0</v>
      </c>
      <c r="Z53" s="42">
        <f t="shared" si="4"/>
        <v>0</v>
      </c>
      <c r="AA53" s="42">
        <f t="shared" si="5"/>
        <v>0</v>
      </c>
      <c r="AB53" s="41">
        <f t="shared" si="6"/>
        <v>0</v>
      </c>
      <c r="AC53" s="43">
        <f t="shared" si="7"/>
        <v>0</v>
      </c>
      <c r="AG53" s="66">
        <f t="shared" si="18"/>
        <v>0</v>
      </c>
      <c r="AH53" s="66">
        <f t="shared" si="18"/>
        <v>0</v>
      </c>
      <c r="AI53" s="66">
        <f t="shared" si="18"/>
        <v>0</v>
      </c>
      <c r="AJ53" s="66">
        <f t="shared" si="18"/>
        <v>0</v>
      </c>
      <c r="AK53" s="66">
        <f t="shared" si="18"/>
        <v>0</v>
      </c>
      <c r="AL53" s="66">
        <f t="shared" si="18"/>
        <v>0</v>
      </c>
      <c r="AM53" s="66">
        <f t="shared" si="18"/>
        <v>0</v>
      </c>
      <c r="AN53" s="66">
        <f t="shared" si="18"/>
        <v>0</v>
      </c>
      <c r="AO53" s="66">
        <f t="shared" si="18"/>
        <v>0</v>
      </c>
      <c r="AU53" s="48"/>
      <c r="AV53" s="48"/>
      <c r="AW53" s="48"/>
      <c r="AX53" s="48"/>
      <c r="AY53" s="48"/>
    </row>
    <row r="54" spans="1:51">
      <c r="A54" s="3">
        <f t="shared" si="10"/>
        <v>1.2083333333333333</v>
      </c>
      <c r="B54" s="3">
        <f t="shared" si="1"/>
        <v>1.2291666666666665</v>
      </c>
      <c r="C54" s="21"/>
      <c r="D54" s="21"/>
      <c r="E54" s="22"/>
      <c r="F54" s="22"/>
      <c r="G54" s="22"/>
      <c r="H54" s="22"/>
      <c r="I54" s="22"/>
      <c r="J54" s="22"/>
      <c r="K54" s="22"/>
      <c r="L54" s="22"/>
      <c r="O54" s="34">
        <f t="shared" si="22"/>
        <v>0</v>
      </c>
      <c r="P54" s="34">
        <f t="shared" si="22"/>
        <v>0</v>
      </c>
      <c r="Q54" s="34">
        <f t="shared" si="22"/>
        <v>0</v>
      </c>
      <c r="R54" s="35">
        <f t="shared" si="22"/>
        <v>0</v>
      </c>
      <c r="S54" s="35">
        <f t="shared" si="22"/>
        <v>0</v>
      </c>
      <c r="T54" s="35">
        <f t="shared" si="22"/>
        <v>0</v>
      </c>
      <c r="U54" s="35">
        <f t="shared" si="22"/>
        <v>0</v>
      </c>
      <c r="V54" s="35">
        <f t="shared" si="22"/>
        <v>0</v>
      </c>
      <c r="W54" s="35">
        <f t="shared" si="22"/>
        <v>0</v>
      </c>
      <c r="X54" s="35">
        <f t="shared" si="22"/>
        <v>0</v>
      </c>
      <c r="Y54" s="36">
        <f t="shared" si="3"/>
        <v>0</v>
      </c>
      <c r="Z54" s="37">
        <f t="shared" si="4"/>
        <v>0</v>
      </c>
      <c r="AA54" s="37">
        <f t="shared" si="5"/>
        <v>0</v>
      </c>
      <c r="AB54" s="36">
        <f t="shared" si="6"/>
        <v>0</v>
      </c>
      <c r="AC54" s="38">
        <f t="shared" si="7"/>
        <v>0</v>
      </c>
      <c r="AG54" s="66">
        <f t="shared" si="18"/>
        <v>0</v>
      </c>
      <c r="AH54" s="66">
        <f t="shared" si="18"/>
        <v>0</v>
      </c>
      <c r="AI54" s="66">
        <f t="shared" si="18"/>
        <v>0</v>
      </c>
      <c r="AJ54" s="66">
        <f t="shared" si="18"/>
        <v>0</v>
      </c>
      <c r="AK54" s="66">
        <f t="shared" si="18"/>
        <v>0</v>
      </c>
      <c r="AL54" s="66">
        <f t="shared" si="18"/>
        <v>0</v>
      </c>
      <c r="AM54" s="66">
        <f t="shared" si="18"/>
        <v>0</v>
      </c>
      <c r="AN54" s="66">
        <f t="shared" si="18"/>
        <v>0</v>
      </c>
      <c r="AO54" s="66">
        <f t="shared" si="18"/>
        <v>0</v>
      </c>
      <c r="AQ54" s="49">
        <f t="shared" ref="AQ54:AY54" si="24">SUM(O54:O57)</f>
        <v>0</v>
      </c>
      <c r="AR54" s="49">
        <f t="shared" si="24"/>
        <v>0</v>
      </c>
      <c r="AS54" s="49">
        <f t="shared" si="24"/>
        <v>0</v>
      </c>
      <c r="AT54" s="49">
        <f t="shared" si="24"/>
        <v>0</v>
      </c>
      <c r="AU54" s="49">
        <f t="shared" si="24"/>
        <v>0</v>
      </c>
      <c r="AV54" s="49">
        <f t="shared" si="24"/>
        <v>0</v>
      </c>
      <c r="AW54" s="49">
        <f t="shared" si="24"/>
        <v>0</v>
      </c>
      <c r="AX54" s="49">
        <f t="shared" si="24"/>
        <v>0</v>
      </c>
      <c r="AY54" s="49">
        <f t="shared" si="24"/>
        <v>0</v>
      </c>
    </row>
    <row r="55" spans="1:51">
      <c r="A55" s="1">
        <f t="shared" si="10"/>
        <v>1.2291666666666665</v>
      </c>
      <c r="B55" s="1">
        <f t="shared" si="1"/>
        <v>1.2499999999999998</v>
      </c>
      <c r="C55" s="17"/>
      <c r="D55" s="17"/>
      <c r="E55" s="18"/>
      <c r="F55" s="18"/>
      <c r="G55" s="18"/>
      <c r="H55" s="18"/>
      <c r="I55" s="18"/>
      <c r="J55" s="18"/>
      <c r="K55" s="18"/>
      <c r="L55" s="18"/>
      <c r="O55" s="24">
        <f t="shared" si="22"/>
        <v>0</v>
      </c>
      <c r="P55" s="24">
        <f t="shared" si="22"/>
        <v>0</v>
      </c>
      <c r="Q55" s="24">
        <f t="shared" si="22"/>
        <v>0</v>
      </c>
      <c r="R55" s="25">
        <f t="shared" si="22"/>
        <v>0</v>
      </c>
      <c r="S55" s="25">
        <f t="shared" si="22"/>
        <v>0</v>
      </c>
      <c r="T55" s="25">
        <f t="shared" si="22"/>
        <v>0</v>
      </c>
      <c r="U55" s="25">
        <f t="shared" si="22"/>
        <v>0</v>
      </c>
      <c r="V55" s="25">
        <f t="shared" si="22"/>
        <v>0</v>
      </c>
      <c r="W55" s="25">
        <f t="shared" si="22"/>
        <v>0</v>
      </c>
      <c r="X55" s="25">
        <f t="shared" si="22"/>
        <v>0</v>
      </c>
      <c r="Y55" s="26">
        <f t="shared" si="3"/>
        <v>0</v>
      </c>
      <c r="Z55" s="27">
        <f t="shared" si="4"/>
        <v>0</v>
      </c>
      <c r="AA55" s="27">
        <f t="shared" si="5"/>
        <v>0</v>
      </c>
      <c r="AB55" s="26">
        <f t="shared" si="6"/>
        <v>0</v>
      </c>
      <c r="AC55" s="28">
        <f t="shared" si="7"/>
        <v>0</v>
      </c>
      <c r="AG55" s="66">
        <f t="shared" si="18"/>
        <v>0</v>
      </c>
      <c r="AH55" s="66">
        <f t="shared" si="18"/>
        <v>0</v>
      </c>
      <c r="AI55" s="66">
        <f t="shared" si="18"/>
        <v>0</v>
      </c>
      <c r="AJ55" s="66">
        <f t="shared" si="18"/>
        <v>0</v>
      </c>
      <c r="AK55" s="66">
        <f t="shared" si="18"/>
        <v>0</v>
      </c>
      <c r="AL55" s="66">
        <f t="shared" si="18"/>
        <v>0</v>
      </c>
      <c r="AM55" s="66">
        <f t="shared" si="18"/>
        <v>0</v>
      </c>
      <c r="AN55" s="66">
        <f t="shared" si="18"/>
        <v>0</v>
      </c>
      <c r="AO55" s="66">
        <f t="shared" si="18"/>
        <v>0</v>
      </c>
      <c r="AU55" s="48"/>
      <c r="AV55" s="48"/>
      <c r="AW55" s="48"/>
      <c r="AX55" s="48"/>
      <c r="AY55" s="48"/>
    </row>
    <row r="56" spans="1:51">
      <c r="A56" s="1">
        <f t="shared" si="10"/>
        <v>1.2499999999999998</v>
      </c>
      <c r="B56" s="1">
        <f t="shared" si="1"/>
        <v>1.270833333333333</v>
      </c>
      <c r="C56" s="17"/>
      <c r="D56" s="17"/>
      <c r="E56" s="18"/>
      <c r="F56" s="18"/>
      <c r="G56" s="18"/>
      <c r="H56" s="18"/>
      <c r="I56" s="18"/>
      <c r="J56" s="18"/>
      <c r="K56" s="18"/>
      <c r="L56" s="18"/>
      <c r="O56" s="24">
        <f t="shared" si="22"/>
        <v>0</v>
      </c>
      <c r="P56" s="24">
        <f t="shared" si="22"/>
        <v>0</v>
      </c>
      <c r="Q56" s="24">
        <f t="shared" si="22"/>
        <v>0</v>
      </c>
      <c r="R56" s="25">
        <f t="shared" si="22"/>
        <v>0</v>
      </c>
      <c r="S56" s="25">
        <f t="shared" si="22"/>
        <v>0</v>
      </c>
      <c r="T56" s="25">
        <f t="shared" si="22"/>
        <v>0</v>
      </c>
      <c r="U56" s="25">
        <f t="shared" si="22"/>
        <v>0</v>
      </c>
      <c r="V56" s="25">
        <f t="shared" si="22"/>
        <v>0</v>
      </c>
      <c r="W56" s="25">
        <f t="shared" si="22"/>
        <v>0</v>
      </c>
      <c r="X56" s="25">
        <f t="shared" si="22"/>
        <v>0</v>
      </c>
      <c r="Y56" s="26">
        <f t="shared" si="3"/>
        <v>0</v>
      </c>
      <c r="Z56" s="27">
        <f t="shared" si="4"/>
        <v>0</v>
      </c>
      <c r="AA56" s="27">
        <f t="shared" si="5"/>
        <v>0</v>
      </c>
      <c r="AB56" s="26">
        <f t="shared" si="6"/>
        <v>0</v>
      </c>
      <c r="AC56" s="28">
        <f t="shared" si="7"/>
        <v>0</v>
      </c>
      <c r="AG56" s="66">
        <f t="shared" si="18"/>
        <v>0</v>
      </c>
      <c r="AH56" s="66">
        <f t="shared" si="18"/>
        <v>0</v>
      </c>
      <c r="AI56" s="66">
        <f t="shared" si="18"/>
        <v>0</v>
      </c>
      <c r="AJ56" s="66">
        <f t="shared" si="18"/>
        <v>0</v>
      </c>
      <c r="AK56" s="66">
        <f t="shared" si="18"/>
        <v>0</v>
      </c>
      <c r="AL56" s="66">
        <f t="shared" si="18"/>
        <v>0</v>
      </c>
      <c r="AM56" s="66">
        <f t="shared" si="18"/>
        <v>0</v>
      </c>
      <c r="AN56" s="66">
        <f t="shared" si="18"/>
        <v>0</v>
      </c>
      <c r="AO56" s="66">
        <f t="shared" si="18"/>
        <v>0</v>
      </c>
      <c r="AU56" s="48"/>
      <c r="AV56" s="48"/>
      <c r="AW56" s="48"/>
      <c r="AX56" s="48"/>
      <c r="AY56" s="48"/>
    </row>
    <row r="57" spans="1:51">
      <c r="A57" s="2">
        <f t="shared" si="10"/>
        <v>1.270833333333333</v>
      </c>
      <c r="B57" s="2">
        <f t="shared" si="1"/>
        <v>1.2916666666666663</v>
      </c>
      <c r="C57" s="19"/>
      <c r="D57" s="19"/>
      <c r="E57" s="20"/>
      <c r="F57" s="20"/>
      <c r="G57" s="20"/>
      <c r="H57" s="20"/>
      <c r="I57" s="20"/>
      <c r="J57" s="20"/>
      <c r="K57" s="20"/>
      <c r="L57" s="20"/>
      <c r="O57" s="29">
        <f t="shared" si="22"/>
        <v>0</v>
      </c>
      <c r="P57" s="29">
        <f t="shared" si="22"/>
        <v>0</v>
      </c>
      <c r="Q57" s="29">
        <f t="shared" si="22"/>
        <v>0</v>
      </c>
      <c r="R57" s="30">
        <f t="shared" si="22"/>
        <v>0</v>
      </c>
      <c r="S57" s="30">
        <f t="shared" si="22"/>
        <v>0</v>
      </c>
      <c r="T57" s="30">
        <f t="shared" si="22"/>
        <v>0</v>
      </c>
      <c r="U57" s="30">
        <f t="shared" si="22"/>
        <v>0</v>
      </c>
      <c r="V57" s="30">
        <f t="shared" si="22"/>
        <v>0</v>
      </c>
      <c r="W57" s="30">
        <f t="shared" si="22"/>
        <v>0</v>
      </c>
      <c r="X57" s="30">
        <f t="shared" si="22"/>
        <v>0</v>
      </c>
      <c r="Y57" s="31">
        <f t="shared" si="3"/>
        <v>0</v>
      </c>
      <c r="Z57" s="32">
        <f t="shared" si="4"/>
        <v>0</v>
      </c>
      <c r="AA57" s="32">
        <f t="shared" si="5"/>
        <v>0</v>
      </c>
      <c r="AB57" s="31">
        <f t="shared" si="6"/>
        <v>0</v>
      </c>
      <c r="AC57" s="33">
        <f t="shared" si="7"/>
        <v>0</v>
      </c>
      <c r="AG57" s="66">
        <f t="shared" si="18"/>
        <v>0</v>
      </c>
      <c r="AH57" s="66">
        <f t="shared" si="18"/>
        <v>0</v>
      </c>
      <c r="AI57" s="66">
        <f t="shared" si="18"/>
        <v>0</v>
      </c>
      <c r="AJ57" s="66">
        <f t="shared" si="18"/>
        <v>0</v>
      </c>
      <c r="AK57" s="66">
        <f t="shared" si="18"/>
        <v>0</v>
      </c>
      <c r="AL57" s="66">
        <f t="shared" si="18"/>
        <v>0</v>
      </c>
      <c r="AM57" s="66">
        <f t="shared" si="18"/>
        <v>0</v>
      </c>
      <c r="AN57" s="66">
        <f t="shared" si="18"/>
        <v>0</v>
      </c>
      <c r="AO57" s="66">
        <f t="shared" si="18"/>
        <v>0</v>
      </c>
      <c r="AU57" s="48"/>
      <c r="AV57" s="48"/>
      <c r="AW57" s="48"/>
      <c r="AX57" s="48"/>
      <c r="AY57" s="48"/>
    </row>
    <row r="58" spans="1:51">
      <c r="A58" s="3">
        <f t="shared" si="10"/>
        <v>1.2916666666666663</v>
      </c>
      <c r="B58" s="3">
        <f t="shared" si="1"/>
        <v>1.3124999999999996</v>
      </c>
      <c r="C58" s="21"/>
      <c r="D58" s="21"/>
      <c r="E58" s="22"/>
      <c r="F58" s="22"/>
      <c r="G58" s="22"/>
      <c r="H58" s="22"/>
      <c r="I58" s="22"/>
      <c r="J58" s="22"/>
      <c r="K58" s="22"/>
      <c r="L58" s="22"/>
      <c r="O58" s="34">
        <f t="shared" si="22"/>
        <v>0</v>
      </c>
      <c r="P58" s="34">
        <f t="shared" si="22"/>
        <v>0</v>
      </c>
      <c r="Q58" s="34">
        <f t="shared" si="22"/>
        <v>0</v>
      </c>
      <c r="R58" s="35">
        <f t="shared" si="22"/>
        <v>0</v>
      </c>
      <c r="S58" s="35">
        <f t="shared" si="22"/>
        <v>0</v>
      </c>
      <c r="T58" s="35">
        <f t="shared" si="22"/>
        <v>0</v>
      </c>
      <c r="U58" s="35">
        <f t="shared" si="22"/>
        <v>0</v>
      </c>
      <c r="V58" s="35">
        <f t="shared" si="22"/>
        <v>0</v>
      </c>
      <c r="W58" s="35">
        <f t="shared" si="22"/>
        <v>0</v>
      </c>
      <c r="X58" s="35">
        <f t="shared" si="22"/>
        <v>0</v>
      </c>
      <c r="Y58" s="36">
        <f t="shared" si="3"/>
        <v>0</v>
      </c>
      <c r="Z58" s="37">
        <f t="shared" si="4"/>
        <v>0</v>
      </c>
      <c r="AA58" s="37">
        <f t="shared" si="5"/>
        <v>0</v>
      </c>
      <c r="AB58" s="36">
        <f t="shared" si="6"/>
        <v>0</v>
      </c>
      <c r="AC58" s="38">
        <f t="shared" si="7"/>
        <v>0</v>
      </c>
      <c r="AG58" s="66">
        <f t="shared" si="18"/>
        <v>0</v>
      </c>
      <c r="AH58" s="66">
        <f t="shared" si="18"/>
        <v>0</v>
      </c>
      <c r="AI58" s="66">
        <f t="shared" si="18"/>
        <v>0</v>
      </c>
      <c r="AJ58" s="66">
        <f t="shared" si="18"/>
        <v>0</v>
      </c>
      <c r="AK58" s="66">
        <f t="shared" si="18"/>
        <v>0</v>
      </c>
      <c r="AL58" s="66">
        <f t="shared" si="18"/>
        <v>0</v>
      </c>
      <c r="AM58" s="66">
        <f t="shared" si="18"/>
        <v>0</v>
      </c>
      <c r="AN58" s="66">
        <f t="shared" si="18"/>
        <v>0</v>
      </c>
      <c r="AO58" s="66">
        <f t="shared" si="18"/>
        <v>0</v>
      </c>
      <c r="AQ58" s="49">
        <f t="shared" ref="AQ58:AY58" si="25">SUM(O58:O61)</f>
        <v>0</v>
      </c>
      <c r="AR58" s="49">
        <f t="shared" si="25"/>
        <v>0</v>
      </c>
      <c r="AS58" s="49">
        <f t="shared" si="25"/>
        <v>0</v>
      </c>
      <c r="AT58" s="49">
        <f t="shared" si="25"/>
        <v>0</v>
      </c>
      <c r="AU58" s="49">
        <f t="shared" si="25"/>
        <v>0</v>
      </c>
      <c r="AV58" s="49">
        <f t="shared" si="25"/>
        <v>0</v>
      </c>
      <c r="AW58" s="49">
        <f t="shared" si="25"/>
        <v>0</v>
      </c>
      <c r="AX58" s="49">
        <f t="shared" si="25"/>
        <v>0</v>
      </c>
      <c r="AY58" s="49">
        <f t="shared" si="25"/>
        <v>0</v>
      </c>
    </row>
    <row r="59" spans="1:51">
      <c r="A59" s="1">
        <f t="shared" si="10"/>
        <v>1.3124999999999996</v>
      </c>
      <c r="B59" s="1">
        <f t="shared" si="1"/>
        <v>1.3333333333333328</v>
      </c>
      <c r="C59" s="17"/>
      <c r="D59" s="17"/>
      <c r="E59" s="18"/>
      <c r="F59" s="18"/>
      <c r="G59" s="18"/>
      <c r="H59" s="18"/>
      <c r="I59" s="18"/>
      <c r="J59" s="18"/>
      <c r="K59" s="18"/>
      <c r="L59" s="18"/>
      <c r="O59" s="24">
        <f t="shared" si="22"/>
        <v>0</v>
      </c>
      <c r="P59" s="24">
        <f t="shared" si="22"/>
        <v>0</v>
      </c>
      <c r="Q59" s="24">
        <f t="shared" si="22"/>
        <v>0</v>
      </c>
      <c r="R59" s="25">
        <f t="shared" si="22"/>
        <v>0</v>
      </c>
      <c r="S59" s="25">
        <f t="shared" si="22"/>
        <v>0</v>
      </c>
      <c r="T59" s="25">
        <f t="shared" si="22"/>
        <v>0</v>
      </c>
      <c r="U59" s="25">
        <f t="shared" si="22"/>
        <v>0</v>
      </c>
      <c r="V59" s="25">
        <f t="shared" si="22"/>
        <v>0</v>
      </c>
      <c r="W59" s="25">
        <f t="shared" si="22"/>
        <v>0</v>
      </c>
      <c r="X59" s="25">
        <f t="shared" si="22"/>
        <v>0</v>
      </c>
      <c r="Y59" s="26">
        <f t="shared" si="3"/>
        <v>0</v>
      </c>
      <c r="Z59" s="27">
        <f t="shared" si="4"/>
        <v>0</v>
      </c>
      <c r="AA59" s="27">
        <f t="shared" si="5"/>
        <v>0</v>
      </c>
      <c r="AB59" s="26">
        <f t="shared" si="6"/>
        <v>0</v>
      </c>
      <c r="AC59" s="28">
        <f t="shared" si="7"/>
        <v>0</v>
      </c>
      <c r="AG59" s="66">
        <f t="shared" si="18"/>
        <v>0</v>
      </c>
      <c r="AH59" s="66">
        <f t="shared" si="18"/>
        <v>0</v>
      </c>
      <c r="AI59" s="66">
        <f t="shared" si="18"/>
        <v>0</v>
      </c>
      <c r="AJ59" s="66">
        <f t="shared" si="18"/>
        <v>0</v>
      </c>
      <c r="AK59" s="66">
        <f t="shared" si="18"/>
        <v>0</v>
      </c>
      <c r="AL59" s="66">
        <f t="shared" si="18"/>
        <v>0</v>
      </c>
      <c r="AM59" s="66">
        <f t="shared" si="18"/>
        <v>0</v>
      </c>
      <c r="AN59" s="66">
        <f t="shared" si="18"/>
        <v>0</v>
      </c>
      <c r="AO59" s="66">
        <f t="shared" si="18"/>
        <v>0</v>
      </c>
      <c r="AU59" s="48"/>
      <c r="AV59" s="48"/>
      <c r="AW59" s="48"/>
      <c r="AX59" s="48"/>
      <c r="AY59" s="48"/>
    </row>
    <row r="60" spans="1:51">
      <c r="A60" s="1">
        <f t="shared" si="10"/>
        <v>1.3333333333333328</v>
      </c>
      <c r="B60" s="1">
        <f t="shared" si="1"/>
        <v>1.3541666666666661</v>
      </c>
      <c r="C60" s="17"/>
      <c r="D60" s="17"/>
      <c r="E60" s="18"/>
      <c r="F60" s="18"/>
      <c r="G60" s="18"/>
      <c r="H60" s="18"/>
      <c r="I60" s="18"/>
      <c r="J60" s="18"/>
      <c r="K60" s="18"/>
      <c r="L60" s="18"/>
      <c r="O60" s="24">
        <f t="shared" si="22"/>
        <v>0</v>
      </c>
      <c r="P60" s="24">
        <f t="shared" si="22"/>
        <v>0</v>
      </c>
      <c r="Q60" s="24">
        <f t="shared" si="22"/>
        <v>0</v>
      </c>
      <c r="R60" s="25">
        <f t="shared" si="22"/>
        <v>0</v>
      </c>
      <c r="S60" s="25">
        <f t="shared" si="22"/>
        <v>0</v>
      </c>
      <c r="T60" s="25">
        <f t="shared" si="22"/>
        <v>0</v>
      </c>
      <c r="U60" s="25">
        <f t="shared" si="22"/>
        <v>0</v>
      </c>
      <c r="V60" s="25">
        <f t="shared" si="22"/>
        <v>0</v>
      </c>
      <c r="W60" s="25">
        <f t="shared" si="22"/>
        <v>0</v>
      </c>
      <c r="X60" s="25">
        <f t="shared" si="22"/>
        <v>0</v>
      </c>
      <c r="Y60" s="26">
        <f t="shared" si="3"/>
        <v>0</v>
      </c>
      <c r="Z60" s="27">
        <f t="shared" si="4"/>
        <v>0</v>
      </c>
      <c r="AA60" s="27">
        <f t="shared" si="5"/>
        <v>0</v>
      </c>
      <c r="AB60" s="26">
        <f t="shared" si="6"/>
        <v>0</v>
      </c>
      <c r="AC60" s="28">
        <f t="shared" si="7"/>
        <v>0</v>
      </c>
      <c r="AG60" s="66">
        <f t="shared" si="18"/>
        <v>0</v>
      </c>
      <c r="AH60" s="66">
        <f t="shared" si="18"/>
        <v>0</v>
      </c>
      <c r="AI60" s="66">
        <f t="shared" si="18"/>
        <v>0</v>
      </c>
      <c r="AJ60" s="66">
        <f t="shared" si="18"/>
        <v>0</v>
      </c>
      <c r="AK60" s="66">
        <f t="shared" si="18"/>
        <v>0</v>
      </c>
      <c r="AL60" s="66">
        <f t="shared" si="18"/>
        <v>0</v>
      </c>
      <c r="AM60" s="66">
        <f t="shared" si="18"/>
        <v>0</v>
      </c>
      <c r="AN60" s="66">
        <f t="shared" si="18"/>
        <v>0</v>
      </c>
      <c r="AO60" s="66">
        <f t="shared" si="18"/>
        <v>0</v>
      </c>
      <c r="AU60" s="48"/>
      <c r="AV60" s="48"/>
      <c r="AW60" s="48"/>
      <c r="AX60" s="48"/>
      <c r="AY60" s="48"/>
    </row>
    <row r="61" spans="1:51">
      <c r="A61" s="2">
        <f t="shared" si="10"/>
        <v>1.3541666666666661</v>
      </c>
      <c r="B61" s="2">
        <f t="shared" si="1"/>
        <v>1.3749999999999993</v>
      </c>
      <c r="C61" s="19"/>
      <c r="D61" s="19"/>
      <c r="E61" s="20"/>
      <c r="F61" s="20"/>
      <c r="G61" s="20"/>
      <c r="H61" s="20"/>
      <c r="I61" s="20"/>
      <c r="J61" s="20"/>
      <c r="K61" s="20"/>
      <c r="L61" s="20"/>
      <c r="O61" s="29">
        <f t="shared" si="22"/>
        <v>0</v>
      </c>
      <c r="P61" s="29">
        <f t="shared" si="22"/>
        <v>0</v>
      </c>
      <c r="Q61" s="29">
        <f t="shared" si="22"/>
        <v>0</v>
      </c>
      <c r="R61" s="30">
        <f t="shared" si="22"/>
        <v>0</v>
      </c>
      <c r="S61" s="30">
        <f t="shared" si="22"/>
        <v>0</v>
      </c>
      <c r="T61" s="30">
        <f t="shared" si="22"/>
        <v>0</v>
      </c>
      <c r="U61" s="30">
        <f t="shared" si="22"/>
        <v>0</v>
      </c>
      <c r="V61" s="30">
        <f t="shared" si="22"/>
        <v>0</v>
      </c>
      <c r="W61" s="30">
        <f t="shared" si="22"/>
        <v>0</v>
      </c>
      <c r="X61" s="30">
        <f t="shared" si="22"/>
        <v>0</v>
      </c>
      <c r="Y61" s="31">
        <f t="shared" si="3"/>
        <v>0</v>
      </c>
      <c r="Z61" s="32">
        <f t="shared" si="4"/>
        <v>0</v>
      </c>
      <c r="AA61" s="32">
        <f t="shared" si="5"/>
        <v>0</v>
      </c>
      <c r="AB61" s="31">
        <f t="shared" si="6"/>
        <v>0</v>
      </c>
      <c r="AC61" s="33">
        <f t="shared" si="7"/>
        <v>0</v>
      </c>
      <c r="AG61" s="66">
        <f t="shared" si="18"/>
        <v>0</v>
      </c>
      <c r="AH61" s="66">
        <f t="shared" si="18"/>
        <v>0</v>
      </c>
      <c r="AI61" s="66">
        <f t="shared" si="18"/>
        <v>0</v>
      </c>
      <c r="AJ61" s="66">
        <f t="shared" si="18"/>
        <v>0</v>
      </c>
      <c r="AK61" s="66">
        <f t="shared" si="18"/>
        <v>0</v>
      </c>
      <c r="AL61" s="66">
        <f t="shared" si="18"/>
        <v>0</v>
      </c>
      <c r="AM61" s="66">
        <f t="shared" si="18"/>
        <v>0</v>
      </c>
      <c r="AN61" s="66">
        <f t="shared" si="18"/>
        <v>0</v>
      </c>
      <c r="AO61" s="66">
        <f t="shared" si="18"/>
        <v>0</v>
      </c>
      <c r="AU61" s="48"/>
      <c r="AV61" s="48"/>
      <c r="AW61" s="48"/>
      <c r="AX61" s="48"/>
      <c r="AY61" s="48"/>
    </row>
    <row r="62" spans="1:51">
      <c r="A62" s="3">
        <f t="shared" si="10"/>
        <v>1.3749999999999993</v>
      </c>
      <c r="B62" s="3">
        <f t="shared" si="1"/>
        <v>1.3958333333333326</v>
      </c>
      <c r="C62" s="21"/>
      <c r="D62" s="21"/>
      <c r="E62" s="22"/>
      <c r="F62" s="22"/>
      <c r="G62" s="22"/>
      <c r="H62" s="22"/>
      <c r="I62" s="22"/>
      <c r="J62" s="22"/>
      <c r="K62" s="22"/>
      <c r="L62" s="22"/>
      <c r="O62" s="34">
        <f t="shared" si="22"/>
        <v>0</v>
      </c>
      <c r="P62" s="34">
        <f t="shared" si="22"/>
        <v>0</v>
      </c>
      <c r="Q62" s="34">
        <f t="shared" si="22"/>
        <v>0</v>
      </c>
      <c r="R62" s="35">
        <f t="shared" si="22"/>
        <v>0</v>
      </c>
      <c r="S62" s="35">
        <f t="shared" si="22"/>
        <v>0</v>
      </c>
      <c r="T62" s="35">
        <f t="shared" si="22"/>
        <v>0</v>
      </c>
      <c r="U62" s="35">
        <f t="shared" si="22"/>
        <v>0</v>
      </c>
      <c r="V62" s="35">
        <f t="shared" si="22"/>
        <v>0</v>
      </c>
      <c r="W62" s="35">
        <f t="shared" si="22"/>
        <v>0</v>
      </c>
      <c r="X62" s="35">
        <f t="shared" si="22"/>
        <v>0</v>
      </c>
      <c r="Y62" s="36">
        <f t="shared" si="3"/>
        <v>0</v>
      </c>
      <c r="Z62" s="37">
        <f t="shared" si="4"/>
        <v>0</v>
      </c>
      <c r="AA62" s="37">
        <f t="shared" si="5"/>
        <v>0</v>
      </c>
      <c r="AB62" s="36">
        <f t="shared" si="6"/>
        <v>0</v>
      </c>
      <c r="AC62" s="38">
        <f t="shared" si="7"/>
        <v>0</v>
      </c>
      <c r="AG62" s="66">
        <f t="shared" si="18"/>
        <v>0</v>
      </c>
      <c r="AH62" s="66">
        <f t="shared" si="18"/>
        <v>0</v>
      </c>
      <c r="AI62" s="66">
        <f t="shared" si="18"/>
        <v>0</v>
      </c>
      <c r="AJ62" s="66">
        <f t="shared" si="18"/>
        <v>0</v>
      </c>
      <c r="AK62" s="66">
        <f t="shared" si="18"/>
        <v>0</v>
      </c>
      <c r="AL62" s="66">
        <f t="shared" si="18"/>
        <v>0</v>
      </c>
      <c r="AM62" s="66">
        <f t="shared" si="18"/>
        <v>0</v>
      </c>
      <c r="AN62" s="66">
        <f t="shared" si="18"/>
        <v>0</v>
      </c>
      <c r="AO62" s="66">
        <f t="shared" si="18"/>
        <v>0</v>
      </c>
      <c r="AQ62" s="49">
        <f t="shared" ref="AQ62:AY62" si="26">SUM(O62:O65)</f>
        <v>0</v>
      </c>
      <c r="AR62" s="49">
        <f t="shared" si="26"/>
        <v>0</v>
      </c>
      <c r="AS62" s="49">
        <f t="shared" si="26"/>
        <v>0</v>
      </c>
      <c r="AT62" s="49">
        <f t="shared" si="26"/>
        <v>0</v>
      </c>
      <c r="AU62" s="49">
        <f t="shared" si="26"/>
        <v>0</v>
      </c>
      <c r="AV62" s="49">
        <f t="shared" si="26"/>
        <v>0</v>
      </c>
      <c r="AW62" s="49">
        <f t="shared" si="26"/>
        <v>0</v>
      </c>
      <c r="AX62" s="49">
        <f t="shared" si="26"/>
        <v>0</v>
      </c>
      <c r="AY62" s="49">
        <f t="shared" si="26"/>
        <v>0</v>
      </c>
    </row>
    <row r="63" spans="1:51">
      <c r="A63" s="1">
        <f t="shared" si="10"/>
        <v>1.3958333333333326</v>
      </c>
      <c r="B63" s="1">
        <f t="shared" si="1"/>
        <v>1.4166666666666659</v>
      </c>
      <c r="C63" s="17"/>
      <c r="D63" s="17"/>
      <c r="E63" s="18"/>
      <c r="F63" s="18"/>
      <c r="G63" s="18"/>
      <c r="H63" s="18"/>
      <c r="I63" s="18"/>
      <c r="J63" s="18"/>
      <c r="K63" s="18"/>
      <c r="L63" s="18"/>
      <c r="O63" s="24">
        <f t="shared" si="22"/>
        <v>0</v>
      </c>
      <c r="P63" s="24">
        <f t="shared" si="22"/>
        <v>0</v>
      </c>
      <c r="Q63" s="24">
        <f t="shared" si="22"/>
        <v>0</v>
      </c>
      <c r="R63" s="25">
        <f t="shared" si="22"/>
        <v>0</v>
      </c>
      <c r="S63" s="25">
        <f t="shared" si="22"/>
        <v>0</v>
      </c>
      <c r="T63" s="25">
        <f t="shared" si="22"/>
        <v>0</v>
      </c>
      <c r="U63" s="25">
        <f t="shared" si="22"/>
        <v>0</v>
      </c>
      <c r="V63" s="25">
        <f t="shared" si="22"/>
        <v>0</v>
      </c>
      <c r="W63" s="25">
        <f t="shared" si="22"/>
        <v>0</v>
      </c>
      <c r="X63" s="25">
        <f t="shared" si="22"/>
        <v>0</v>
      </c>
      <c r="Y63" s="26">
        <f t="shared" si="3"/>
        <v>0</v>
      </c>
      <c r="Z63" s="27">
        <f t="shared" si="4"/>
        <v>0</v>
      </c>
      <c r="AA63" s="27">
        <f t="shared" si="5"/>
        <v>0</v>
      </c>
      <c r="AB63" s="26">
        <f t="shared" si="6"/>
        <v>0</v>
      </c>
      <c r="AC63" s="28">
        <f t="shared" si="7"/>
        <v>0</v>
      </c>
      <c r="AG63" s="66">
        <f t="shared" si="18"/>
        <v>0</v>
      </c>
      <c r="AH63" s="66">
        <f t="shared" si="18"/>
        <v>0</v>
      </c>
      <c r="AI63" s="66">
        <f t="shared" si="18"/>
        <v>0</v>
      </c>
      <c r="AJ63" s="66">
        <f t="shared" si="18"/>
        <v>0</v>
      </c>
      <c r="AK63" s="66">
        <f t="shared" si="18"/>
        <v>0</v>
      </c>
      <c r="AL63" s="66">
        <f t="shared" si="18"/>
        <v>0</v>
      </c>
      <c r="AM63" s="66">
        <f t="shared" si="18"/>
        <v>0</v>
      </c>
      <c r="AN63" s="66">
        <f t="shared" si="18"/>
        <v>0</v>
      </c>
      <c r="AO63" s="66">
        <f t="shared" si="18"/>
        <v>0</v>
      </c>
      <c r="AU63" s="48"/>
      <c r="AV63" s="48"/>
      <c r="AW63" s="48"/>
      <c r="AX63" s="48"/>
      <c r="AY63" s="48"/>
    </row>
    <row r="64" spans="1:51">
      <c r="A64" s="1">
        <f t="shared" si="10"/>
        <v>1.4166666666666659</v>
      </c>
      <c r="B64" s="1">
        <f t="shared" si="1"/>
        <v>1.4374999999999991</v>
      </c>
      <c r="C64" s="17"/>
      <c r="D64" s="17"/>
      <c r="E64" s="18"/>
      <c r="F64" s="18"/>
      <c r="G64" s="18"/>
      <c r="H64" s="18"/>
      <c r="I64" s="18"/>
      <c r="J64" s="18"/>
      <c r="K64" s="18"/>
      <c r="L64" s="18"/>
      <c r="O64" s="24">
        <f t="shared" si="22"/>
        <v>0</v>
      </c>
      <c r="P64" s="24">
        <f t="shared" si="22"/>
        <v>0</v>
      </c>
      <c r="Q64" s="24">
        <f t="shared" si="22"/>
        <v>0</v>
      </c>
      <c r="R64" s="25">
        <f t="shared" si="22"/>
        <v>0</v>
      </c>
      <c r="S64" s="25">
        <f t="shared" si="22"/>
        <v>0</v>
      </c>
      <c r="T64" s="25">
        <f t="shared" si="22"/>
        <v>0</v>
      </c>
      <c r="U64" s="25">
        <f t="shared" si="22"/>
        <v>0</v>
      </c>
      <c r="V64" s="25">
        <f t="shared" si="22"/>
        <v>0</v>
      </c>
      <c r="W64" s="25">
        <f t="shared" si="22"/>
        <v>0</v>
      </c>
      <c r="X64" s="25">
        <f t="shared" si="22"/>
        <v>0</v>
      </c>
      <c r="Y64" s="26">
        <f t="shared" si="3"/>
        <v>0</v>
      </c>
      <c r="Z64" s="27">
        <f t="shared" si="4"/>
        <v>0</v>
      </c>
      <c r="AA64" s="27">
        <f t="shared" si="5"/>
        <v>0</v>
      </c>
      <c r="AB64" s="26">
        <f t="shared" si="6"/>
        <v>0</v>
      </c>
      <c r="AC64" s="28">
        <f t="shared" si="7"/>
        <v>0</v>
      </c>
      <c r="AG64" s="66">
        <f t="shared" si="18"/>
        <v>0</v>
      </c>
      <c r="AH64" s="66">
        <f t="shared" si="18"/>
        <v>0</v>
      </c>
      <c r="AI64" s="66">
        <f t="shared" si="18"/>
        <v>0</v>
      </c>
      <c r="AJ64" s="66">
        <f t="shared" si="18"/>
        <v>0</v>
      </c>
      <c r="AK64" s="66">
        <f t="shared" si="18"/>
        <v>0</v>
      </c>
      <c r="AL64" s="66">
        <f t="shared" si="18"/>
        <v>0</v>
      </c>
      <c r="AM64" s="66">
        <f t="shared" si="18"/>
        <v>0</v>
      </c>
      <c r="AN64" s="66">
        <f t="shared" si="18"/>
        <v>0</v>
      </c>
      <c r="AO64" s="66">
        <f t="shared" si="18"/>
        <v>0</v>
      </c>
      <c r="AU64" s="48"/>
      <c r="AV64" s="48"/>
      <c r="AW64" s="48"/>
      <c r="AX64" s="48"/>
      <c r="AY64" s="48"/>
    </row>
    <row r="65" spans="1:51" ht="15.75" thickBot="1">
      <c r="A65" s="4">
        <f t="shared" si="10"/>
        <v>1.4374999999999991</v>
      </c>
      <c r="B65" s="4">
        <f t="shared" si="1"/>
        <v>1.4583333333333324</v>
      </c>
      <c r="C65" s="19"/>
      <c r="D65" s="19"/>
      <c r="E65" s="20"/>
      <c r="F65" s="20"/>
      <c r="G65" s="20"/>
      <c r="H65" s="20"/>
      <c r="I65" s="20"/>
      <c r="J65" s="20"/>
      <c r="K65" s="20"/>
      <c r="L65" s="20"/>
      <c r="O65" s="39">
        <f t="shared" si="22"/>
        <v>0</v>
      </c>
      <c r="P65" s="39">
        <f t="shared" si="22"/>
        <v>0</v>
      </c>
      <c r="Q65" s="39">
        <f t="shared" si="22"/>
        <v>0</v>
      </c>
      <c r="R65" s="40">
        <f t="shared" si="22"/>
        <v>0</v>
      </c>
      <c r="S65" s="40">
        <f t="shared" si="22"/>
        <v>0</v>
      </c>
      <c r="T65" s="40">
        <f t="shared" si="22"/>
        <v>0</v>
      </c>
      <c r="U65" s="40">
        <f t="shared" si="22"/>
        <v>0</v>
      </c>
      <c r="V65" s="40">
        <f t="shared" si="22"/>
        <v>0</v>
      </c>
      <c r="W65" s="40">
        <f t="shared" si="22"/>
        <v>0</v>
      </c>
      <c r="X65" s="40">
        <f t="shared" si="22"/>
        <v>0</v>
      </c>
      <c r="Y65" s="41">
        <f t="shared" si="3"/>
        <v>0</v>
      </c>
      <c r="Z65" s="42">
        <f t="shared" si="4"/>
        <v>0</v>
      </c>
      <c r="AA65" s="42">
        <f t="shared" si="5"/>
        <v>0</v>
      </c>
      <c r="AB65" s="41">
        <f t="shared" si="6"/>
        <v>0</v>
      </c>
      <c r="AC65" s="43">
        <f t="shared" si="7"/>
        <v>0</v>
      </c>
      <c r="AG65" s="66">
        <f t="shared" si="18"/>
        <v>0</v>
      </c>
      <c r="AH65" s="66">
        <f t="shared" si="18"/>
        <v>0</v>
      </c>
      <c r="AI65" s="66">
        <f t="shared" si="18"/>
        <v>0</v>
      </c>
      <c r="AJ65" s="66">
        <f t="shared" si="18"/>
        <v>0</v>
      </c>
      <c r="AK65" s="66">
        <f t="shared" si="18"/>
        <v>0</v>
      </c>
      <c r="AL65" s="66">
        <f t="shared" si="18"/>
        <v>0</v>
      </c>
      <c r="AM65" s="66">
        <f t="shared" si="18"/>
        <v>0</v>
      </c>
      <c r="AN65" s="66">
        <f t="shared" si="18"/>
        <v>0</v>
      </c>
      <c r="AO65" s="66">
        <f t="shared" si="18"/>
        <v>0</v>
      </c>
      <c r="AU65" s="48"/>
      <c r="AV65" s="48"/>
      <c r="AW65" s="48"/>
      <c r="AX65" s="48"/>
      <c r="AY65" s="48"/>
    </row>
    <row r="66" spans="1:51" s="46" customFormat="1">
      <c r="AD66" s="46" t="s">
        <v>18</v>
      </c>
      <c r="AG66" s="48"/>
      <c r="AH66" s="48"/>
      <c r="AI66" s="48"/>
      <c r="AJ66" s="48"/>
      <c r="AK66" s="48"/>
      <c r="AL66" s="48"/>
      <c r="AM66" s="48"/>
      <c r="AN66" s="48"/>
      <c r="AO66" s="48"/>
    </row>
    <row r="67" spans="1:51" s="46" customFormat="1" ht="18">
      <c r="A67" s="45" t="s">
        <v>11</v>
      </c>
      <c r="AD67" s="70" t="s">
        <v>22</v>
      </c>
      <c r="AG67" s="48"/>
      <c r="AH67" s="48"/>
      <c r="AI67" s="48"/>
      <c r="AJ67" s="48"/>
      <c r="AK67" s="48"/>
      <c r="AL67" s="48"/>
      <c r="AM67" s="48"/>
      <c r="AN67" s="48"/>
      <c r="AO67" s="48"/>
    </row>
    <row r="68" spans="1:51">
      <c r="A68" s="3">
        <v>0.29166666666666674</v>
      </c>
      <c r="B68" s="3">
        <v>0.33333333333333348</v>
      </c>
      <c r="C68" s="21"/>
      <c r="D68" s="21"/>
      <c r="E68" s="22"/>
      <c r="F68" s="22"/>
      <c r="G68" s="22"/>
      <c r="H68" s="22"/>
      <c r="I68" s="22"/>
      <c r="J68" s="22"/>
      <c r="K68" s="22"/>
      <c r="L68" s="22"/>
      <c r="O68" s="34">
        <f>SUM(O10:O11)</f>
        <v>119</v>
      </c>
      <c r="P68" s="34">
        <f t="shared" ref="P68:X68" si="27">SUM(P10:P11)</f>
        <v>420</v>
      </c>
      <c r="Q68" s="34">
        <f t="shared" si="27"/>
        <v>157</v>
      </c>
      <c r="R68" s="35">
        <f t="shared" si="27"/>
        <v>25</v>
      </c>
      <c r="S68" s="35">
        <f t="shared" si="27"/>
        <v>1</v>
      </c>
      <c r="T68" s="35">
        <f t="shared" si="27"/>
        <v>3</v>
      </c>
      <c r="U68" s="35">
        <f t="shared" si="27"/>
        <v>1</v>
      </c>
      <c r="V68" s="35">
        <f t="shared" si="27"/>
        <v>1</v>
      </c>
      <c r="W68" s="35">
        <f t="shared" si="27"/>
        <v>3</v>
      </c>
      <c r="X68" s="35">
        <f t="shared" si="27"/>
        <v>0</v>
      </c>
      <c r="Y68" s="36">
        <f t="shared" ref="Y68:Y82" si="28">O68+Q68+R68</f>
        <v>301</v>
      </c>
      <c r="Z68" s="37">
        <f t="shared" ref="Z68:Z82" si="29">S68+T68+U68+P68</f>
        <v>425</v>
      </c>
      <c r="AA68" s="37">
        <f t="shared" ref="AA68:AA82" si="30">V68+W68</f>
        <v>4</v>
      </c>
      <c r="AB68" s="36">
        <f t="shared" ref="AB68:AB82" si="31">SUM(O68:W68)</f>
        <v>730</v>
      </c>
      <c r="AC68" s="38">
        <f t="shared" ref="AC68:AC82" si="32">SUM(AG68:AO68)</f>
        <v>468</v>
      </c>
      <c r="AD68" s="50">
        <f t="shared" ref="AD68:AE83" si="33">AB68/AB$83</f>
        <v>0.12207357859531773</v>
      </c>
      <c r="AE68" s="50">
        <f t="shared" si="33"/>
        <v>0.12435233160621761</v>
      </c>
      <c r="AG68" s="48">
        <f>O68*O$8</f>
        <v>59.5</v>
      </c>
      <c r="AH68" s="48">
        <f t="shared" ref="AG68:AO82" si="34">P68*P$8</f>
        <v>210</v>
      </c>
      <c r="AI68" s="48">
        <f t="shared" si="34"/>
        <v>157</v>
      </c>
      <c r="AJ68" s="48">
        <f t="shared" si="34"/>
        <v>25</v>
      </c>
      <c r="AK68" s="48">
        <f t="shared" si="34"/>
        <v>1</v>
      </c>
      <c r="AL68" s="48">
        <f t="shared" si="34"/>
        <v>4.5</v>
      </c>
      <c r="AM68" s="48">
        <f t="shared" si="34"/>
        <v>2</v>
      </c>
      <c r="AN68" s="48">
        <f t="shared" si="34"/>
        <v>1.5</v>
      </c>
      <c r="AO68" s="48">
        <f t="shared" si="34"/>
        <v>7.5</v>
      </c>
      <c r="AQ68" s="50"/>
    </row>
    <row r="69" spans="1:51">
      <c r="A69" s="3">
        <v>0.33333333333333348</v>
      </c>
      <c r="B69" s="3">
        <v>0.37500000000000022</v>
      </c>
      <c r="C69" s="21"/>
      <c r="D69" s="21"/>
      <c r="E69" s="22"/>
      <c r="F69" s="22"/>
      <c r="G69" s="22"/>
      <c r="H69" s="22"/>
      <c r="I69" s="22"/>
      <c r="J69" s="22"/>
      <c r="K69" s="22"/>
      <c r="L69" s="22"/>
      <c r="O69" s="34">
        <f>SUM(O12:O13)</f>
        <v>141</v>
      </c>
      <c r="P69" s="34">
        <f t="shared" ref="P69:X69" si="35">SUM(P12:P13)</f>
        <v>365</v>
      </c>
      <c r="Q69" s="34">
        <f t="shared" si="35"/>
        <v>143</v>
      </c>
      <c r="R69" s="35">
        <f t="shared" si="35"/>
        <v>28</v>
      </c>
      <c r="S69" s="35">
        <f t="shared" si="35"/>
        <v>1</v>
      </c>
      <c r="T69" s="35">
        <f t="shared" si="35"/>
        <v>0</v>
      </c>
      <c r="U69" s="35">
        <f t="shared" si="35"/>
        <v>1</v>
      </c>
      <c r="V69" s="35">
        <f t="shared" si="35"/>
        <v>0</v>
      </c>
      <c r="W69" s="35">
        <f t="shared" si="35"/>
        <v>8</v>
      </c>
      <c r="X69" s="35">
        <f>SUM(X12:X13)</f>
        <v>0</v>
      </c>
      <c r="Y69" s="36">
        <f t="shared" si="28"/>
        <v>312</v>
      </c>
      <c r="Z69" s="37">
        <f t="shared" si="29"/>
        <v>367</v>
      </c>
      <c r="AA69" s="37">
        <f t="shared" si="30"/>
        <v>8</v>
      </c>
      <c r="AB69" s="36">
        <f t="shared" si="31"/>
        <v>687</v>
      </c>
      <c r="AC69" s="38">
        <f t="shared" si="32"/>
        <v>447</v>
      </c>
      <c r="AD69" s="50">
        <f t="shared" si="33"/>
        <v>0.11488294314381271</v>
      </c>
      <c r="AE69" s="50">
        <f t="shared" si="33"/>
        <v>0.118772419290554</v>
      </c>
      <c r="AG69" s="48">
        <f t="shared" si="34"/>
        <v>70.5</v>
      </c>
      <c r="AH69" s="48">
        <f t="shared" si="34"/>
        <v>182.5</v>
      </c>
      <c r="AI69" s="48">
        <f t="shared" si="34"/>
        <v>143</v>
      </c>
      <c r="AJ69" s="48">
        <f t="shared" si="34"/>
        <v>28</v>
      </c>
      <c r="AK69" s="48">
        <f t="shared" si="34"/>
        <v>1</v>
      </c>
      <c r="AL69" s="48">
        <f t="shared" si="34"/>
        <v>0</v>
      </c>
      <c r="AM69" s="48">
        <f t="shared" si="34"/>
        <v>2</v>
      </c>
      <c r="AN69" s="48">
        <f t="shared" si="34"/>
        <v>0</v>
      </c>
      <c r="AO69" s="48">
        <f t="shared" si="34"/>
        <v>20</v>
      </c>
      <c r="AQ69" s="50"/>
    </row>
    <row r="70" spans="1:51">
      <c r="A70" s="3">
        <v>0.37500000000000022</v>
      </c>
      <c r="B70" s="3">
        <v>0.41666666666666696</v>
      </c>
      <c r="C70" s="21"/>
      <c r="D70" s="21"/>
      <c r="E70" s="22"/>
      <c r="F70" s="22"/>
      <c r="G70" s="22"/>
      <c r="H70" s="22"/>
      <c r="I70" s="22"/>
      <c r="J70" s="22"/>
      <c r="K70" s="22"/>
      <c r="L70" s="22"/>
      <c r="O70" s="34">
        <f>SUM(O14:O15)</f>
        <v>71</v>
      </c>
      <c r="P70" s="34">
        <f t="shared" ref="P70:X70" si="36">SUM(P14:P15)</f>
        <v>287</v>
      </c>
      <c r="Q70" s="34">
        <f t="shared" si="36"/>
        <v>77</v>
      </c>
      <c r="R70" s="35">
        <f t="shared" si="36"/>
        <v>114</v>
      </c>
      <c r="S70" s="35">
        <f t="shared" si="36"/>
        <v>0</v>
      </c>
      <c r="T70" s="35">
        <f t="shared" si="36"/>
        <v>0</v>
      </c>
      <c r="U70" s="35">
        <f t="shared" si="36"/>
        <v>0</v>
      </c>
      <c r="V70" s="35">
        <f t="shared" si="36"/>
        <v>0</v>
      </c>
      <c r="W70" s="35">
        <f t="shared" si="36"/>
        <v>3</v>
      </c>
      <c r="X70" s="35">
        <f t="shared" si="36"/>
        <v>0</v>
      </c>
      <c r="Y70" s="36">
        <f t="shared" si="28"/>
        <v>262</v>
      </c>
      <c r="Z70" s="37">
        <f t="shared" si="29"/>
        <v>287</v>
      </c>
      <c r="AA70" s="37">
        <f t="shared" si="30"/>
        <v>3</v>
      </c>
      <c r="AB70" s="36">
        <f t="shared" si="31"/>
        <v>552</v>
      </c>
      <c r="AC70" s="38">
        <f t="shared" si="32"/>
        <v>377.5</v>
      </c>
      <c r="AD70" s="50">
        <f t="shared" si="33"/>
        <v>9.2307692307692313E-2</v>
      </c>
      <c r="AE70" s="50">
        <f t="shared" si="33"/>
        <v>0.10030556662681014</v>
      </c>
      <c r="AG70" s="48">
        <f t="shared" si="34"/>
        <v>35.5</v>
      </c>
      <c r="AH70" s="48">
        <f t="shared" si="34"/>
        <v>143.5</v>
      </c>
      <c r="AI70" s="48">
        <f t="shared" si="34"/>
        <v>77</v>
      </c>
      <c r="AJ70" s="48">
        <f t="shared" si="34"/>
        <v>114</v>
      </c>
      <c r="AK70" s="48">
        <f t="shared" si="34"/>
        <v>0</v>
      </c>
      <c r="AL70" s="48">
        <f t="shared" si="34"/>
        <v>0</v>
      </c>
      <c r="AM70" s="48">
        <f t="shared" si="34"/>
        <v>0</v>
      </c>
      <c r="AN70" s="48">
        <f t="shared" si="34"/>
        <v>0</v>
      </c>
      <c r="AO70" s="48">
        <f t="shared" si="34"/>
        <v>7.5</v>
      </c>
      <c r="AQ70" s="50"/>
    </row>
    <row r="71" spans="1:51">
      <c r="A71" s="3">
        <v>0.41666666666666696</v>
      </c>
      <c r="B71" s="3">
        <v>0.4583333333333337</v>
      </c>
      <c r="C71" s="21"/>
      <c r="D71" s="21"/>
      <c r="E71" s="22"/>
      <c r="F71" s="22"/>
      <c r="G71" s="22"/>
      <c r="H71" s="22"/>
      <c r="I71" s="22"/>
      <c r="J71" s="22"/>
      <c r="K71" s="22"/>
      <c r="L71" s="22"/>
      <c r="O71" s="34">
        <f>SUM(O16:O17)</f>
        <v>68</v>
      </c>
      <c r="P71" s="34">
        <f t="shared" ref="P71:X71" si="37">SUM(P16:P17)</f>
        <v>193</v>
      </c>
      <c r="Q71" s="34">
        <f t="shared" si="37"/>
        <v>84</v>
      </c>
      <c r="R71" s="35">
        <f t="shared" si="37"/>
        <v>16</v>
      </c>
      <c r="S71" s="35">
        <f t="shared" si="37"/>
        <v>1</v>
      </c>
      <c r="T71" s="35">
        <f t="shared" si="37"/>
        <v>0</v>
      </c>
      <c r="U71" s="35">
        <f t="shared" si="37"/>
        <v>0</v>
      </c>
      <c r="V71" s="35">
        <f t="shared" si="37"/>
        <v>1</v>
      </c>
      <c r="W71" s="35">
        <f t="shared" si="37"/>
        <v>0</v>
      </c>
      <c r="X71" s="35">
        <f t="shared" si="37"/>
        <v>0</v>
      </c>
      <c r="Y71" s="36">
        <f t="shared" si="28"/>
        <v>168</v>
      </c>
      <c r="Z71" s="37">
        <f t="shared" si="29"/>
        <v>194</v>
      </c>
      <c r="AA71" s="37">
        <f t="shared" si="30"/>
        <v>1</v>
      </c>
      <c r="AB71" s="36">
        <f t="shared" si="31"/>
        <v>363</v>
      </c>
      <c r="AC71" s="38">
        <f t="shared" si="32"/>
        <v>233</v>
      </c>
      <c r="AD71" s="50">
        <f t="shared" si="33"/>
        <v>6.0702341137123743E-2</v>
      </c>
      <c r="AE71" s="50">
        <f t="shared" si="33"/>
        <v>6.1910455692839116E-2</v>
      </c>
      <c r="AG71" s="48">
        <f t="shared" si="34"/>
        <v>34</v>
      </c>
      <c r="AH71" s="48">
        <f t="shared" si="34"/>
        <v>96.5</v>
      </c>
      <c r="AI71" s="48">
        <f t="shared" si="34"/>
        <v>84</v>
      </c>
      <c r="AJ71" s="48">
        <f t="shared" si="34"/>
        <v>16</v>
      </c>
      <c r="AK71" s="48">
        <f t="shared" si="34"/>
        <v>1</v>
      </c>
      <c r="AL71" s="48">
        <f t="shared" si="34"/>
        <v>0</v>
      </c>
      <c r="AM71" s="48">
        <f t="shared" si="34"/>
        <v>0</v>
      </c>
      <c r="AN71" s="48">
        <f t="shared" si="34"/>
        <v>1.5</v>
      </c>
      <c r="AO71" s="48">
        <f t="shared" si="34"/>
        <v>0</v>
      </c>
      <c r="AQ71" s="50"/>
    </row>
    <row r="72" spans="1:51">
      <c r="A72" s="3">
        <v>0.4583333333333337</v>
      </c>
      <c r="B72" s="3">
        <v>0.50000000000000044</v>
      </c>
      <c r="C72" s="21"/>
      <c r="D72" s="21"/>
      <c r="E72" s="22"/>
      <c r="F72" s="22"/>
      <c r="G72" s="22"/>
      <c r="H72" s="22"/>
      <c r="I72" s="22"/>
      <c r="J72" s="22"/>
      <c r="K72" s="22"/>
      <c r="L72" s="22"/>
      <c r="O72" s="34">
        <f>SUM(O18:O19)</f>
        <v>66</v>
      </c>
      <c r="P72" s="34">
        <f t="shared" ref="P72:X72" si="38">SUM(P18:P19)</f>
        <v>157</v>
      </c>
      <c r="Q72" s="34">
        <f t="shared" si="38"/>
        <v>77</v>
      </c>
      <c r="R72" s="35">
        <f t="shared" si="38"/>
        <v>12</v>
      </c>
      <c r="S72" s="35">
        <f t="shared" si="38"/>
        <v>0</v>
      </c>
      <c r="T72" s="35">
        <f t="shared" si="38"/>
        <v>0</v>
      </c>
      <c r="U72" s="35">
        <f t="shared" si="38"/>
        <v>1</v>
      </c>
      <c r="V72" s="35">
        <f t="shared" si="38"/>
        <v>1</v>
      </c>
      <c r="W72" s="35">
        <f t="shared" si="38"/>
        <v>3</v>
      </c>
      <c r="X72" s="35">
        <f t="shared" si="38"/>
        <v>0</v>
      </c>
      <c r="Y72" s="36">
        <f t="shared" si="28"/>
        <v>155</v>
      </c>
      <c r="Z72" s="37">
        <f t="shared" si="29"/>
        <v>158</v>
      </c>
      <c r="AA72" s="37">
        <f t="shared" si="30"/>
        <v>4</v>
      </c>
      <c r="AB72" s="36">
        <f t="shared" si="31"/>
        <v>317</v>
      </c>
      <c r="AC72" s="38">
        <f t="shared" si="32"/>
        <v>211.5</v>
      </c>
      <c r="AD72" s="50">
        <f t="shared" si="33"/>
        <v>5.301003344481605E-2</v>
      </c>
      <c r="AE72" s="50">
        <f t="shared" si="33"/>
        <v>5.6197688322040654E-2</v>
      </c>
      <c r="AG72" s="48">
        <f t="shared" si="34"/>
        <v>33</v>
      </c>
      <c r="AH72" s="48">
        <f t="shared" si="34"/>
        <v>78.5</v>
      </c>
      <c r="AI72" s="48">
        <f t="shared" si="34"/>
        <v>77</v>
      </c>
      <c r="AJ72" s="48">
        <f t="shared" si="34"/>
        <v>12</v>
      </c>
      <c r="AK72" s="48">
        <f t="shared" si="34"/>
        <v>0</v>
      </c>
      <c r="AL72" s="48">
        <f t="shared" si="34"/>
        <v>0</v>
      </c>
      <c r="AM72" s="48">
        <f t="shared" si="34"/>
        <v>2</v>
      </c>
      <c r="AN72" s="48">
        <f t="shared" si="34"/>
        <v>1.5</v>
      </c>
      <c r="AO72" s="48">
        <f t="shared" si="34"/>
        <v>7.5</v>
      </c>
      <c r="AQ72" s="50"/>
    </row>
    <row r="73" spans="1:51">
      <c r="A73" s="3">
        <v>0.50000000000000044</v>
      </c>
      <c r="B73" s="3">
        <v>0.54166666666666696</v>
      </c>
      <c r="C73" s="21"/>
      <c r="D73" s="21"/>
      <c r="E73" s="22"/>
      <c r="F73" s="22"/>
      <c r="G73" s="22"/>
      <c r="H73" s="22"/>
      <c r="I73" s="22"/>
      <c r="J73" s="22"/>
      <c r="K73" s="22"/>
      <c r="L73" s="22"/>
      <c r="O73" s="34">
        <f>SUM(O20:O21)</f>
        <v>66</v>
      </c>
      <c r="P73" s="34">
        <f t="shared" ref="P73:X73" si="39">SUM(P20:P21)</f>
        <v>249</v>
      </c>
      <c r="Q73" s="34">
        <f t="shared" si="39"/>
        <v>89</v>
      </c>
      <c r="R73" s="35">
        <f t="shared" si="39"/>
        <v>19</v>
      </c>
      <c r="S73" s="35">
        <f t="shared" si="39"/>
        <v>0</v>
      </c>
      <c r="T73" s="35">
        <f t="shared" si="39"/>
        <v>1</v>
      </c>
      <c r="U73" s="35">
        <f t="shared" si="39"/>
        <v>0</v>
      </c>
      <c r="V73" s="35">
        <f t="shared" si="39"/>
        <v>2</v>
      </c>
      <c r="W73" s="35">
        <f t="shared" si="39"/>
        <v>1</v>
      </c>
      <c r="X73" s="35">
        <f t="shared" si="39"/>
        <v>0</v>
      </c>
      <c r="Y73" s="36">
        <f t="shared" si="28"/>
        <v>174</v>
      </c>
      <c r="Z73" s="37">
        <f t="shared" si="29"/>
        <v>250</v>
      </c>
      <c r="AA73" s="37">
        <f t="shared" si="30"/>
        <v>3</v>
      </c>
      <c r="AB73" s="36">
        <f t="shared" si="31"/>
        <v>427</v>
      </c>
      <c r="AC73" s="38">
        <f t="shared" si="32"/>
        <v>272.5</v>
      </c>
      <c r="AD73" s="50">
        <f t="shared" si="33"/>
        <v>7.1404682274247497E-2</v>
      </c>
      <c r="AE73" s="50">
        <f t="shared" si="33"/>
        <v>7.2406005048492095E-2</v>
      </c>
      <c r="AG73" s="48">
        <f t="shared" si="34"/>
        <v>33</v>
      </c>
      <c r="AH73" s="48">
        <f t="shared" si="34"/>
        <v>124.5</v>
      </c>
      <c r="AI73" s="48">
        <f t="shared" si="34"/>
        <v>89</v>
      </c>
      <c r="AJ73" s="48">
        <f t="shared" si="34"/>
        <v>19</v>
      </c>
      <c r="AK73" s="48">
        <f t="shared" si="34"/>
        <v>0</v>
      </c>
      <c r="AL73" s="48">
        <f t="shared" si="34"/>
        <v>1.5</v>
      </c>
      <c r="AM73" s="48">
        <f t="shared" si="34"/>
        <v>0</v>
      </c>
      <c r="AN73" s="48">
        <f t="shared" si="34"/>
        <v>3</v>
      </c>
      <c r="AO73" s="48">
        <f t="shared" si="34"/>
        <v>2.5</v>
      </c>
      <c r="AQ73" s="50"/>
    </row>
    <row r="74" spans="1:51">
      <c r="A74" s="3">
        <v>0.54166666666666696</v>
      </c>
      <c r="B74" s="3">
        <v>0.58333333333333348</v>
      </c>
      <c r="C74" s="21"/>
      <c r="D74" s="21"/>
      <c r="E74" s="22"/>
      <c r="F74" s="22"/>
      <c r="G74" s="22"/>
      <c r="H74" s="22"/>
      <c r="I74" s="22"/>
      <c r="J74" s="22"/>
      <c r="K74" s="22"/>
      <c r="L74" s="22"/>
      <c r="O74" s="34">
        <f>SUM(O22:O23)</f>
        <v>80</v>
      </c>
      <c r="P74" s="34">
        <f t="shared" ref="P74:X74" si="40">SUM(P22:P23)</f>
        <v>274</v>
      </c>
      <c r="Q74" s="34">
        <f>SUM(Q22:Q23)</f>
        <v>72</v>
      </c>
      <c r="R74" s="35">
        <f t="shared" si="40"/>
        <v>23</v>
      </c>
      <c r="S74" s="35">
        <f t="shared" si="40"/>
        <v>1</v>
      </c>
      <c r="T74" s="35">
        <f t="shared" si="40"/>
        <v>1</v>
      </c>
      <c r="U74" s="35">
        <f t="shared" si="40"/>
        <v>0</v>
      </c>
      <c r="V74" s="35">
        <f t="shared" si="40"/>
        <v>1</v>
      </c>
      <c r="W74" s="35">
        <f t="shared" si="40"/>
        <v>2</v>
      </c>
      <c r="X74" s="35">
        <f t="shared" si="40"/>
        <v>0</v>
      </c>
      <c r="Y74" s="36">
        <f t="shared" si="28"/>
        <v>175</v>
      </c>
      <c r="Z74" s="37">
        <f t="shared" si="29"/>
        <v>276</v>
      </c>
      <c r="AA74" s="37">
        <f t="shared" si="30"/>
        <v>3</v>
      </c>
      <c r="AB74" s="36">
        <f t="shared" si="31"/>
        <v>454</v>
      </c>
      <c r="AC74" s="38">
        <f t="shared" si="32"/>
        <v>281</v>
      </c>
      <c r="AD74" s="50">
        <f t="shared" si="33"/>
        <v>7.5919732441471571E-2</v>
      </c>
      <c r="AE74" s="50">
        <f t="shared" si="33"/>
        <v>7.4664540985784511E-2</v>
      </c>
      <c r="AG74" s="48">
        <f t="shared" si="34"/>
        <v>40</v>
      </c>
      <c r="AH74" s="48">
        <f t="shared" si="34"/>
        <v>137</v>
      </c>
      <c r="AI74" s="48">
        <f t="shared" si="34"/>
        <v>72</v>
      </c>
      <c r="AJ74" s="48">
        <f t="shared" si="34"/>
        <v>23</v>
      </c>
      <c r="AK74" s="48">
        <f t="shared" si="34"/>
        <v>1</v>
      </c>
      <c r="AL74" s="48">
        <f t="shared" si="34"/>
        <v>1.5</v>
      </c>
      <c r="AM74" s="48">
        <f t="shared" si="34"/>
        <v>0</v>
      </c>
      <c r="AN74" s="48">
        <f t="shared" si="34"/>
        <v>1.5</v>
      </c>
      <c r="AO74" s="48">
        <f t="shared" si="34"/>
        <v>5</v>
      </c>
      <c r="AQ74" s="50"/>
    </row>
    <row r="75" spans="1:51">
      <c r="A75" s="3">
        <v>0.58333333333333348</v>
      </c>
      <c r="B75" s="3">
        <v>0.625</v>
      </c>
      <c r="C75" s="21"/>
      <c r="D75" s="21"/>
      <c r="E75" s="22"/>
      <c r="F75" s="22"/>
      <c r="G75" s="22"/>
      <c r="H75" s="22"/>
      <c r="I75" s="22"/>
      <c r="J75" s="22"/>
      <c r="K75" s="22"/>
      <c r="L75" s="22"/>
      <c r="O75" s="34">
        <f>SUM(O24:O25)</f>
        <v>81</v>
      </c>
      <c r="P75" s="34">
        <f t="shared" ref="P75:X75" si="41">SUM(P24:P25)</f>
        <v>221</v>
      </c>
      <c r="Q75" s="34">
        <f t="shared" si="41"/>
        <v>74</v>
      </c>
      <c r="R75" s="35">
        <f t="shared" si="41"/>
        <v>15</v>
      </c>
      <c r="S75" s="35">
        <f t="shared" si="41"/>
        <v>0</v>
      </c>
      <c r="T75" s="35">
        <f t="shared" si="41"/>
        <v>1</v>
      </c>
      <c r="U75" s="35">
        <f t="shared" si="41"/>
        <v>0</v>
      </c>
      <c r="V75" s="35">
        <f t="shared" si="41"/>
        <v>2</v>
      </c>
      <c r="W75" s="35">
        <f t="shared" si="41"/>
        <v>4</v>
      </c>
      <c r="X75" s="35">
        <f t="shared" si="41"/>
        <v>0</v>
      </c>
      <c r="Y75" s="36">
        <f t="shared" si="28"/>
        <v>170</v>
      </c>
      <c r="Z75" s="37">
        <f t="shared" si="29"/>
        <v>222</v>
      </c>
      <c r="AA75" s="37">
        <f t="shared" si="30"/>
        <v>6</v>
      </c>
      <c r="AB75" s="36">
        <f t="shared" si="31"/>
        <v>398</v>
      </c>
      <c r="AC75" s="38">
        <f t="shared" si="32"/>
        <v>254.5</v>
      </c>
      <c r="AD75" s="50">
        <f t="shared" si="33"/>
        <v>6.6555183946488294E-2</v>
      </c>
      <c r="AE75" s="50">
        <f t="shared" si="33"/>
        <v>6.7623223063637578E-2</v>
      </c>
      <c r="AG75" s="48">
        <f t="shared" si="34"/>
        <v>40.5</v>
      </c>
      <c r="AH75" s="48">
        <f t="shared" si="34"/>
        <v>110.5</v>
      </c>
      <c r="AI75" s="48">
        <f t="shared" si="34"/>
        <v>74</v>
      </c>
      <c r="AJ75" s="48">
        <f t="shared" si="34"/>
        <v>15</v>
      </c>
      <c r="AK75" s="48">
        <f t="shared" si="34"/>
        <v>0</v>
      </c>
      <c r="AL75" s="48">
        <f t="shared" si="34"/>
        <v>1.5</v>
      </c>
      <c r="AM75" s="48">
        <f t="shared" si="34"/>
        <v>0</v>
      </c>
      <c r="AN75" s="48">
        <f t="shared" si="34"/>
        <v>3</v>
      </c>
      <c r="AO75" s="48">
        <f t="shared" si="34"/>
        <v>10</v>
      </c>
      <c r="AQ75" s="50"/>
    </row>
    <row r="76" spans="1:51" s="48" customFormat="1">
      <c r="A76" s="3">
        <v>0.625</v>
      </c>
      <c r="B76" s="3">
        <v>0.66666666666666652</v>
      </c>
      <c r="C76" s="21"/>
      <c r="D76" s="21"/>
      <c r="E76" s="22"/>
      <c r="F76" s="22"/>
      <c r="G76" s="22"/>
      <c r="H76" s="22"/>
      <c r="I76" s="22"/>
      <c r="J76" s="22"/>
      <c r="K76" s="22"/>
      <c r="L76" s="22"/>
      <c r="O76" s="34">
        <f>SUM(O26:O27)</f>
        <v>77</v>
      </c>
      <c r="P76" s="34">
        <f t="shared" ref="P76:X76" si="42">SUM(P26:P27)</f>
        <v>232</v>
      </c>
      <c r="Q76" s="34">
        <f t="shared" si="42"/>
        <v>58</v>
      </c>
      <c r="R76" s="35">
        <f t="shared" si="42"/>
        <v>23</v>
      </c>
      <c r="S76" s="35">
        <f t="shared" si="42"/>
        <v>0</v>
      </c>
      <c r="T76" s="35">
        <f t="shared" si="42"/>
        <v>2</v>
      </c>
      <c r="U76" s="35">
        <f t="shared" si="42"/>
        <v>0</v>
      </c>
      <c r="V76" s="35">
        <f t="shared" si="42"/>
        <v>8</v>
      </c>
      <c r="W76" s="35">
        <f t="shared" si="42"/>
        <v>8</v>
      </c>
      <c r="X76" s="35">
        <f t="shared" si="42"/>
        <v>0</v>
      </c>
      <c r="Y76" s="36">
        <f t="shared" si="28"/>
        <v>158</v>
      </c>
      <c r="Z76" s="37">
        <f t="shared" si="29"/>
        <v>234</v>
      </c>
      <c r="AA76" s="37">
        <f t="shared" si="30"/>
        <v>16</v>
      </c>
      <c r="AB76" s="36">
        <f t="shared" si="31"/>
        <v>408</v>
      </c>
      <c r="AC76" s="38">
        <f t="shared" si="32"/>
        <v>270.5</v>
      </c>
      <c r="AD76" s="50">
        <f t="shared" si="33"/>
        <v>6.8227424749163879E-2</v>
      </c>
      <c r="AE76" s="50">
        <f t="shared" si="33"/>
        <v>7.1874584827952698E-2</v>
      </c>
      <c r="AG76" s="48">
        <f t="shared" si="34"/>
        <v>38.5</v>
      </c>
      <c r="AH76" s="48">
        <f t="shared" si="34"/>
        <v>116</v>
      </c>
      <c r="AI76" s="48">
        <f t="shared" si="34"/>
        <v>58</v>
      </c>
      <c r="AJ76" s="48">
        <f t="shared" si="34"/>
        <v>23</v>
      </c>
      <c r="AK76" s="48">
        <f t="shared" si="34"/>
        <v>0</v>
      </c>
      <c r="AL76" s="48">
        <f t="shared" si="34"/>
        <v>3</v>
      </c>
      <c r="AM76" s="48">
        <f t="shared" si="34"/>
        <v>0</v>
      </c>
      <c r="AN76" s="48">
        <f t="shared" si="34"/>
        <v>12</v>
      </c>
      <c r="AO76" s="48">
        <f t="shared" si="34"/>
        <v>20</v>
      </c>
      <c r="AQ76" s="50"/>
      <c r="AU76" s="5"/>
      <c r="AV76" s="5"/>
      <c r="AW76" s="5"/>
      <c r="AX76" s="5"/>
      <c r="AY76" s="5"/>
    </row>
    <row r="77" spans="1:51" s="48" customFormat="1">
      <c r="A77" s="3">
        <v>0.66666666666666652</v>
      </c>
      <c r="B77" s="3">
        <v>0.70833333333333304</v>
      </c>
      <c r="C77" s="21"/>
      <c r="D77" s="21"/>
      <c r="E77" s="22"/>
      <c r="F77" s="22"/>
      <c r="G77" s="22"/>
      <c r="H77" s="22"/>
      <c r="I77" s="22"/>
      <c r="J77" s="22"/>
      <c r="K77" s="22"/>
      <c r="L77" s="22"/>
      <c r="O77" s="34">
        <f>SUM(O28:O29)</f>
        <v>92</v>
      </c>
      <c r="P77" s="34">
        <f t="shared" ref="P77:X77" si="43">SUM(P28:P29)</f>
        <v>216</v>
      </c>
      <c r="Q77" s="34">
        <f t="shared" si="43"/>
        <v>36</v>
      </c>
      <c r="R77" s="35">
        <f t="shared" si="43"/>
        <v>20</v>
      </c>
      <c r="S77" s="35">
        <f t="shared" si="43"/>
        <v>0</v>
      </c>
      <c r="T77" s="35">
        <f t="shared" si="43"/>
        <v>0</v>
      </c>
      <c r="U77" s="35">
        <f t="shared" si="43"/>
        <v>0</v>
      </c>
      <c r="V77" s="35">
        <f t="shared" si="43"/>
        <v>1</v>
      </c>
      <c r="W77" s="35">
        <f t="shared" si="43"/>
        <v>5</v>
      </c>
      <c r="X77" s="35">
        <f t="shared" si="43"/>
        <v>0</v>
      </c>
      <c r="Y77" s="36">
        <f t="shared" si="28"/>
        <v>148</v>
      </c>
      <c r="Z77" s="37">
        <f t="shared" si="29"/>
        <v>216</v>
      </c>
      <c r="AA77" s="37">
        <f t="shared" si="30"/>
        <v>6</v>
      </c>
      <c r="AB77" s="36">
        <f t="shared" si="31"/>
        <v>370</v>
      </c>
      <c r="AC77" s="38">
        <f t="shared" si="32"/>
        <v>224</v>
      </c>
      <c r="AD77" s="50">
        <f t="shared" si="33"/>
        <v>6.1872909698996656E-2</v>
      </c>
      <c r="AE77" s="50">
        <f t="shared" si="33"/>
        <v>5.951906470041185E-2</v>
      </c>
      <c r="AG77" s="48">
        <f t="shared" si="34"/>
        <v>46</v>
      </c>
      <c r="AH77" s="48">
        <f t="shared" si="34"/>
        <v>108</v>
      </c>
      <c r="AI77" s="48">
        <f t="shared" si="34"/>
        <v>36</v>
      </c>
      <c r="AJ77" s="48">
        <f t="shared" si="34"/>
        <v>20</v>
      </c>
      <c r="AK77" s="48">
        <f t="shared" si="34"/>
        <v>0</v>
      </c>
      <c r="AL77" s="48">
        <f t="shared" si="34"/>
        <v>0</v>
      </c>
      <c r="AM77" s="48">
        <f t="shared" si="34"/>
        <v>0</v>
      </c>
      <c r="AN77" s="48">
        <f t="shared" si="34"/>
        <v>1.5</v>
      </c>
      <c r="AO77" s="48">
        <f t="shared" si="34"/>
        <v>12.5</v>
      </c>
      <c r="AQ77" s="50"/>
      <c r="AU77" s="5"/>
      <c r="AV77" s="5"/>
      <c r="AW77" s="5"/>
      <c r="AX77" s="5"/>
      <c r="AY77" s="5"/>
    </row>
    <row r="78" spans="1:51" s="48" customFormat="1">
      <c r="A78" s="3">
        <v>0.70833333333333304</v>
      </c>
      <c r="B78" s="3">
        <v>0.74999999999999956</v>
      </c>
      <c r="C78" s="21"/>
      <c r="D78" s="21"/>
      <c r="E78" s="22"/>
      <c r="F78" s="22"/>
      <c r="G78" s="22"/>
      <c r="H78" s="22"/>
      <c r="I78" s="22"/>
      <c r="J78" s="22"/>
      <c r="K78" s="22"/>
      <c r="L78" s="22"/>
      <c r="O78" s="34">
        <f>SUM(O30:O31)</f>
        <v>121</v>
      </c>
      <c r="P78" s="34">
        <f t="shared" ref="P78:X78" si="44">SUM(P30:P31)</f>
        <v>333</v>
      </c>
      <c r="Q78" s="34">
        <f t="shared" si="44"/>
        <v>46</v>
      </c>
      <c r="R78" s="35">
        <f t="shared" si="44"/>
        <v>25</v>
      </c>
      <c r="S78" s="35">
        <f t="shared" si="44"/>
        <v>1</v>
      </c>
      <c r="T78" s="35">
        <f t="shared" si="44"/>
        <v>1</v>
      </c>
      <c r="U78" s="35">
        <f t="shared" si="44"/>
        <v>0</v>
      </c>
      <c r="V78" s="35">
        <f t="shared" si="44"/>
        <v>1</v>
      </c>
      <c r="W78" s="35">
        <f t="shared" si="44"/>
        <v>2</v>
      </c>
      <c r="X78" s="35">
        <f t="shared" si="44"/>
        <v>0</v>
      </c>
      <c r="Y78" s="36">
        <f t="shared" si="28"/>
        <v>192</v>
      </c>
      <c r="Z78" s="37">
        <f t="shared" si="29"/>
        <v>335</v>
      </c>
      <c r="AA78" s="37">
        <f t="shared" si="30"/>
        <v>3</v>
      </c>
      <c r="AB78" s="36">
        <f t="shared" si="31"/>
        <v>530</v>
      </c>
      <c r="AC78" s="38">
        <f t="shared" si="32"/>
        <v>307</v>
      </c>
      <c r="AD78" s="50">
        <f t="shared" si="33"/>
        <v>8.8628762541806017E-2</v>
      </c>
      <c r="AE78" s="50">
        <f t="shared" si="33"/>
        <v>8.1573003852796602E-2</v>
      </c>
      <c r="AG78" s="48">
        <f t="shared" si="34"/>
        <v>60.5</v>
      </c>
      <c r="AH78" s="48">
        <f t="shared" si="34"/>
        <v>166.5</v>
      </c>
      <c r="AI78" s="48">
        <f t="shared" si="34"/>
        <v>46</v>
      </c>
      <c r="AJ78" s="48">
        <f t="shared" si="34"/>
        <v>25</v>
      </c>
      <c r="AK78" s="48">
        <f t="shared" si="34"/>
        <v>1</v>
      </c>
      <c r="AL78" s="48">
        <f t="shared" si="34"/>
        <v>1.5</v>
      </c>
      <c r="AM78" s="48">
        <f t="shared" si="34"/>
        <v>0</v>
      </c>
      <c r="AN78" s="48">
        <f t="shared" si="34"/>
        <v>1.5</v>
      </c>
      <c r="AO78" s="48">
        <f t="shared" si="34"/>
        <v>5</v>
      </c>
      <c r="AQ78" s="50"/>
      <c r="AU78" s="5"/>
      <c r="AV78" s="5"/>
      <c r="AW78" s="5"/>
      <c r="AX78" s="5"/>
      <c r="AY78" s="5"/>
    </row>
    <row r="79" spans="1:51" s="48" customFormat="1">
      <c r="A79" s="3">
        <v>0.74999999999999956</v>
      </c>
      <c r="B79" s="3">
        <v>0.79166666666666607</v>
      </c>
      <c r="C79" s="21"/>
      <c r="D79" s="21"/>
      <c r="E79" s="22"/>
      <c r="F79" s="22"/>
      <c r="G79" s="22"/>
      <c r="H79" s="22"/>
      <c r="I79" s="22"/>
      <c r="J79" s="22"/>
      <c r="K79" s="22"/>
      <c r="L79" s="22"/>
      <c r="O79" s="34">
        <f>SUM(O32:O33)</f>
        <v>75</v>
      </c>
      <c r="P79" s="34">
        <f t="shared" ref="P79:X79" si="45">SUM(P32:P33)</f>
        <v>237</v>
      </c>
      <c r="Q79" s="34">
        <f t="shared" si="45"/>
        <v>16</v>
      </c>
      <c r="R79" s="35">
        <f t="shared" si="45"/>
        <v>16</v>
      </c>
      <c r="S79" s="35">
        <f t="shared" si="45"/>
        <v>0</v>
      </c>
      <c r="T79" s="35">
        <f t="shared" si="45"/>
        <v>1</v>
      </c>
      <c r="U79" s="35">
        <f t="shared" si="45"/>
        <v>0</v>
      </c>
      <c r="V79" s="35">
        <f t="shared" si="45"/>
        <v>0</v>
      </c>
      <c r="W79" s="35">
        <f t="shared" si="45"/>
        <v>4</v>
      </c>
      <c r="X79" s="35">
        <f t="shared" si="45"/>
        <v>0</v>
      </c>
      <c r="Y79" s="36">
        <f t="shared" si="28"/>
        <v>107</v>
      </c>
      <c r="Z79" s="37">
        <f t="shared" si="29"/>
        <v>238</v>
      </c>
      <c r="AA79" s="37">
        <f t="shared" si="30"/>
        <v>4</v>
      </c>
      <c r="AB79" s="36">
        <f t="shared" si="31"/>
        <v>349</v>
      </c>
      <c r="AC79" s="38">
        <f t="shared" si="32"/>
        <v>199.5</v>
      </c>
      <c r="AD79" s="50">
        <f t="shared" si="33"/>
        <v>5.8361204013377924E-2</v>
      </c>
      <c r="AE79" s="50">
        <f t="shared" si="33"/>
        <v>5.3009166998804307E-2</v>
      </c>
      <c r="AG79" s="48">
        <f t="shared" si="34"/>
        <v>37.5</v>
      </c>
      <c r="AH79" s="48">
        <f t="shared" si="34"/>
        <v>118.5</v>
      </c>
      <c r="AI79" s="48">
        <f t="shared" si="34"/>
        <v>16</v>
      </c>
      <c r="AJ79" s="48">
        <f t="shared" si="34"/>
        <v>16</v>
      </c>
      <c r="AK79" s="48">
        <f t="shared" si="34"/>
        <v>0</v>
      </c>
      <c r="AL79" s="48">
        <f t="shared" si="34"/>
        <v>1.5</v>
      </c>
      <c r="AM79" s="48">
        <f t="shared" si="34"/>
        <v>0</v>
      </c>
      <c r="AN79" s="48">
        <f t="shared" si="34"/>
        <v>0</v>
      </c>
      <c r="AO79" s="48">
        <f t="shared" si="34"/>
        <v>10</v>
      </c>
      <c r="AQ79" s="50"/>
      <c r="AU79" s="5"/>
      <c r="AV79" s="5"/>
      <c r="AW79" s="5"/>
      <c r="AX79" s="5"/>
      <c r="AY79" s="5"/>
    </row>
    <row r="80" spans="1:51" s="48" customFormat="1">
      <c r="A80" s="3">
        <v>0.79166666666666607</v>
      </c>
      <c r="B80" s="3">
        <v>0.83333333333333259</v>
      </c>
      <c r="C80" s="21"/>
      <c r="D80" s="21"/>
      <c r="E80" s="22"/>
      <c r="F80" s="22"/>
      <c r="G80" s="22"/>
      <c r="H80" s="22"/>
      <c r="I80" s="22"/>
      <c r="J80" s="22"/>
      <c r="K80" s="22"/>
      <c r="L80" s="22"/>
      <c r="O80" s="34">
        <f>SUM(O34:O35)</f>
        <v>44</v>
      </c>
      <c r="P80" s="34">
        <f t="shared" ref="P80:X80" si="46">SUM(P34:P35)</f>
        <v>181</v>
      </c>
      <c r="Q80" s="34">
        <f t="shared" si="46"/>
        <v>13</v>
      </c>
      <c r="R80" s="35">
        <f t="shared" si="46"/>
        <v>4</v>
      </c>
      <c r="S80" s="35">
        <f t="shared" si="46"/>
        <v>0</v>
      </c>
      <c r="T80" s="35">
        <f t="shared" si="46"/>
        <v>1</v>
      </c>
      <c r="U80" s="35">
        <f t="shared" si="46"/>
        <v>0</v>
      </c>
      <c r="V80" s="35">
        <f t="shared" si="46"/>
        <v>0</v>
      </c>
      <c r="W80" s="35">
        <f t="shared" si="46"/>
        <v>2</v>
      </c>
      <c r="X80" s="35">
        <f t="shared" si="46"/>
        <v>0</v>
      </c>
      <c r="Y80" s="36">
        <f t="shared" si="28"/>
        <v>61</v>
      </c>
      <c r="Z80" s="37">
        <f t="shared" si="29"/>
        <v>182</v>
      </c>
      <c r="AA80" s="37">
        <f t="shared" si="30"/>
        <v>2</v>
      </c>
      <c r="AB80" s="36">
        <f t="shared" si="31"/>
        <v>245</v>
      </c>
      <c r="AC80" s="38">
        <f t="shared" si="32"/>
        <v>136</v>
      </c>
      <c r="AD80" s="50">
        <f t="shared" si="33"/>
        <v>4.096989966555184E-2</v>
      </c>
      <c r="AE80" s="50">
        <f t="shared" si="33"/>
        <v>3.6136574996678626E-2</v>
      </c>
      <c r="AG80" s="48">
        <f t="shared" si="34"/>
        <v>22</v>
      </c>
      <c r="AH80" s="48">
        <f t="shared" si="34"/>
        <v>90.5</v>
      </c>
      <c r="AI80" s="48">
        <f t="shared" si="34"/>
        <v>13</v>
      </c>
      <c r="AJ80" s="48">
        <f t="shared" si="34"/>
        <v>4</v>
      </c>
      <c r="AK80" s="48">
        <f t="shared" si="34"/>
        <v>0</v>
      </c>
      <c r="AL80" s="48">
        <f t="shared" si="34"/>
        <v>1.5</v>
      </c>
      <c r="AM80" s="48">
        <f t="shared" si="34"/>
        <v>0</v>
      </c>
      <c r="AN80" s="48">
        <f t="shared" si="34"/>
        <v>0</v>
      </c>
      <c r="AO80" s="48">
        <f t="shared" si="34"/>
        <v>5</v>
      </c>
      <c r="AQ80" s="50"/>
      <c r="AU80" s="5"/>
      <c r="AV80" s="5"/>
      <c r="AW80" s="5"/>
      <c r="AX80" s="5"/>
      <c r="AY80" s="5"/>
    </row>
    <row r="81" spans="1:51" s="48" customFormat="1">
      <c r="A81" s="3">
        <v>0.83333333333333259</v>
      </c>
      <c r="B81" s="3">
        <v>0.87499999999999911</v>
      </c>
      <c r="C81" s="21"/>
      <c r="D81" s="21"/>
      <c r="E81" s="22"/>
      <c r="F81" s="22"/>
      <c r="G81" s="22"/>
      <c r="H81" s="22"/>
      <c r="I81" s="22"/>
      <c r="J81" s="22"/>
      <c r="K81" s="22"/>
      <c r="L81" s="22"/>
      <c r="O81" s="34">
        <f>SUM(O36:O37)</f>
        <v>22</v>
      </c>
      <c r="P81" s="34">
        <f t="shared" ref="P81:X81" si="47">SUM(P36:P37)</f>
        <v>116</v>
      </c>
      <c r="Q81" s="34">
        <f t="shared" si="47"/>
        <v>9</v>
      </c>
      <c r="R81" s="35">
        <f t="shared" si="47"/>
        <v>2</v>
      </c>
      <c r="S81" s="35">
        <f t="shared" si="47"/>
        <v>0</v>
      </c>
      <c r="T81" s="35">
        <f t="shared" si="47"/>
        <v>0</v>
      </c>
      <c r="U81" s="35">
        <f t="shared" si="47"/>
        <v>0</v>
      </c>
      <c r="V81" s="35">
        <f t="shared" si="47"/>
        <v>1</v>
      </c>
      <c r="W81" s="35">
        <f t="shared" si="47"/>
        <v>0</v>
      </c>
      <c r="X81" s="35">
        <f t="shared" si="47"/>
        <v>0</v>
      </c>
      <c r="Y81" s="36">
        <f t="shared" si="28"/>
        <v>33</v>
      </c>
      <c r="Z81" s="37">
        <f t="shared" si="29"/>
        <v>116</v>
      </c>
      <c r="AA81" s="37">
        <f t="shared" si="30"/>
        <v>1</v>
      </c>
      <c r="AB81" s="36">
        <f t="shared" si="31"/>
        <v>150</v>
      </c>
      <c r="AC81" s="38">
        <f t="shared" si="32"/>
        <v>81.5</v>
      </c>
      <c r="AD81" s="50">
        <f t="shared" si="33"/>
        <v>2.508361204013378E-2</v>
      </c>
      <c r="AE81" s="50">
        <f t="shared" si="33"/>
        <v>2.1655373986980204E-2</v>
      </c>
      <c r="AG81" s="48">
        <f t="shared" si="34"/>
        <v>11</v>
      </c>
      <c r="AH81" s="48">
        <f t="shared" si="34"/>
        <v>58</v>
      </c>
      <c r="AI81" s="48">
        <f t="shared" si="34"/>
        <v>9</v>
      </c>
      <c r="AJ81" s="48">
        <f t="shared" si="34"/>
        <v>2</v>
      </c>
      <c r="AK81" s="48">
        <f t="shared" si="34"/>
        <v>0</v>
      </c>
      <c r="AL81" s="48">
        <f t="shared" si="34"/>
        <v>0</v>
      </c>
      <c r="AM81" s="48">
        <f t="shared" si="34"/>
        <v>0</v>
      </c>
      <c r="AN81" s="48">
        <f t="shared" si="34"/>
        <v>1.5</v>
      </c>
      <c r="AO81" s="48">
        <f t="shared" si="34"/>
        <v>0</v>
      </c>
      <c r="AQ81" s="50"/>
      <c r="AU81" s="5"/>
      <c r="AV81" s="5"/>
      <c r="AW81" s="5"/>
      <c r="AX81" s="5"/>
      <c r="AY81" s="5"/>
    </row>
    <row r="82" spans="1:51" s="48" customFormat="1">
      <c r="A82" s="3">
        <v>0.87499999999999911</v>
      </c>
      <c r="B82" s="3">
        <v>0.91666666666666663</v>
      </c>
      <c r="C82" s="21"/>
      <c r="D82" s="21"/>
      <c r="E82" s="22"/>
      <c r="F82" s="22"/>
      <c r="G82" s="22"/>
      <c r="H82" s="22"/>
      <c r="I82" s="22"/>
      <c r="J82" s="22"/>
      <c r="K82" s="22"/>
      <c r="L82" s="22"/>
      <c r="O82" s="34">
        <f>SUM(O38:O39)</f>
        <v>0</v>
      </c>
      <c r="P82" s="34">
        <f t="shared" ref="P82:X82" si="48">SUM(P38:P39)</f>
        <v>0</v>
      </c>
      <c r="Q82" s="34">
        <f t="shared" si="48"/>
        <v>0</v>
      </c>
      <c r="R82" s="35">
        <f t="shared" si="48"/>
        <v>0</v>
      </c>
      <c r="S82" s="35">
        <f t="shared" si="48"/>
        <v>0</v>
      </c>
      <c r="T82" s="35">
        <f t="shared" si="48"/>
        <v>0</v>
      </c>
      <c r="U82" s="35">
        <f t="shared" si="48"/>
        <v>0</v>
      </c>
      <c r="V82" s="35">
        <f t="shared" si="48"/>
        <v>0</v>
      </c>
      <c r="W82" s="35">
        <f t="shared" si="48"/>
        <v>0</v>
      </c>
      <c r="X82" s="35">
        <f t="shared" si="48"/>
        <v>0</v>
      </c>
      <c r="Y82" s="36">
        <f t="shared" si="28"/>
        <v>0</v>
      </c>
      <c r="Z82" s="37">
        <f t="shared" si="29"/>
        <v>0</v>
      </c>
      <c r="AA82" s="37">
        <f t="shared" si="30"/>
        <v>0</v>
      </c>
      <c r="AB82" s="36">
        <f t="shared" si="31"/>
        <v>0</v>
      </c>
      <c r="AC82" s="38">
        <f t="shared" si="32"/>
        <v>0</v>
      </c>
      <c r="AD82" s="50">
        <f t="shared" si="33"/>
        <v>0</v>
      </c>
      <c r="AE82" s="50">
        <f t="shared" si="33"/>
        <v>0</v>
      </c>
      <c r="AG82" s="48">
        <f t="shared" si="34"/>
        <v>0</v>
      </c>
      <c r="AH82" s="48">
        <f t="shared" si="34"/>
        <v>0</v>
      </c>
      <c r="AI82" s="48">
        <f t="shared" si="34"/>
        <v>0</v>
      </c>
      <c r="AJ82" s="48">
        <f t="shared" si="34"/>
        <v>0</v>
      </c>
      <c r="AK82" s="48">
        <f t="shared" si="34"/>
        <v>0</v>
      </c>
      <c r="AL82" s="48">
        <f t="shared" si="34"/>
        <v>0</v>
      </c>
      <c r="AM82" s="48">
        <f t="shared" si="34"/>
        <v>0</v>
      </c>
      <c r="AN82" s="48">
        <f t="shared" si="34"/>
        <v>0</v>
      </c>
      <c r="AO82" s="48">
        <f t="shared" si="34"/>
        <v>0</v>
      </c>
      <c r="AQ82" s="50"/>
      <c r="AU82" s="5"/>
      <c r="AV82" s="5"/>
      <c r="AW82" s="5"/>
      <c r="AX82" s="5"/>
      <c r="AY82" s="5"/>
    </row>
    <row r="83" spans="1:51" s="48" customFormat="1">
      <c r="A83" s="47"/>
      <c r="B83" s="47"/>
      <c r="C83" s="64"/>
      <c r="N83" s="54" t="s">
        <v>17</v>
      </c>
      <c r="O83" s="69">
        <f t="shared" ref="O83:W83" si="49">SUM(O68:O82)</f>
        <v>1123</v>
      </c>
      <c r="P83" s="69">
        <f t="shared" si="49"/>
        <v>3481</v>
      </c>
      <c r="Q83" s="69">
        <f t="shared" si="49"/>
        <v>951</v>
      </c>
      <c r="R83" s="69">
        <f t="shared" si="49"/>
        <v>342</v>
      </c>
      <c r="S83" s="69">
        <f t="shared" si="49"/>
        <v>5</v>
      </c>
      <c r="T83" s="69">
        <f t="shared" si="49"/>
        <v>11</v>
      </c>
      <c r="U83" s="69">
        <f t="shared" si="49"/>
        <v>3</v>
      </c>
      <c r="V83" s="69">
        <f t="shared" si="49"/>
        <v>19</v>
      </c>
      <c r="W83" s="69">
        <f t="shared" si="49"/>
        <v>45</v>
      </c>
      <c r="Y83" s="67">
        <f>SUM(Y68:Y82)</f>
        <v>2416</v>
      </c>
      <c r="Z83" s="67">
        <f>SUM(Z68:Z82)</f>
        <v>3500</v>
      </c>
      <c r="AA83" s="67">
        <f>SUM(AA68:AA82)</f>
        <v>64</v>
      </c>
      <c r="AB83" s="67">
        <f>SUM(AB68:AB82)</f>
        <v>5980</v>
      </c>
      <c r="AC83" s="67">
        <f>SUM(AC68:AC82)</f>
        <v>3763.5</v>
      </c>
      <c r="AD83" s="50">
        <f t="shared" si="33"/>
        <v>1</v>
      </c>
      <c r="AE83" s="50">
        <f t="shared" si="33"/>
        <v>1</v>
      </c>
      <c r="AQ83" s="50"/>
    </row>
    <row r="84" spans="1:51" s="48" customFormat="1">
      <c r="A84" s="51"/>
      <c r="B84" s="51"/>
      <c r="N84" s="54" t="s">
        <v>16</v>
      </c>
      <c r="Y84" s="50"/>
      <c r="Z84" s="50"/>
      <c r="AA84" s="50"/>
      <c r="AB84" s="49"/>
    </row>
    <row r="85" spans="1:51" s="48" customFormat="1">
      <c r="A85" s="51"/>
      <c r="B85" s="51"/>
    </row>
    <row r="86" spans="1:51" s="48" customFormat="1">
      <c r="AB86" s="52" t="s">
        <v>14</v>
      </c>
      <c r="AC86" s="55">
        <f>MAX(AC68:AC82)</f>
        <v>468</v>
      </c>
    </row>
    <row r="87" spans="1:51" s="48" customFormat="1">
      <c r="AB87" s="52" t="s">
        <v>15</v>
      </c>
      <c r="AC87" s="56" t="s">
        <v>23</v>
      </c>
    </row>
    <row r="88" spans="1:51" s="48" customFormat="1"/>
    <row r="89" spans="1:51" s="48" customFormat="1"/>
    <row r="90" spans="1:51" s="48" customFormat="1"/>
  </sheetData>
  <mergeCells count="1">
    <mergeCell ref="A7:B7"/>
  </mergeCells>
  <phoneticPr fontId="9" type="noConversion"/>
  <conditionalFormatting sqref="C10:L65 O10:AC65 C68:L82 O68:AC82">
    <cfRule type="cellIs" dxfId="2" priority="1" stopIfTrue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68CE-6ECB-41BA-AD3E-B4EDFF49C8CD}">
  <dimension ref="A1:AY90"/>
  <sheetViews>
    <sheetView zoomScale="115" zoomScaleNormal="115" workbookViewId="0">
      <pane xSplit="2" ySplit="9" topLeftCell="C64" activePane="bottomRight" state="frozen"/>
      <selection activeCell="D4" sqref="D4"/>
      <selection pane="topRight" activeCell="D4" sqref="D4"/>
      <selection pane="bottomLeft" activeCell="D4" sqref="D4"/>
      <selection pane="bottomRight" activeCell="O68" sqref="O68"/>
    </sheetView>
  </sheetViews>
  <sheetFormatPr defaultColWidth="8.85546875" defaultRowHeight="15"/>
  <cols>
    <col min="1" max="2" width="5.7109375" style="5" customWidth="1"/>
    <col min="3" max="12" width="6.7109375" style="5" customWidth="1"/>
    <col min="13" max="14" width="5.7109375" style="48" customWidth="1"/>
    <col min="15" max="15" width="7.7109375" style="5" customWidth="1"/>
    <col min="16" max="24" width="6.7109375" style="5" customWidth="1"/>
    <col min="25" max="29" width="8.85546875" style="5"/>
    <col min="30" max="42" width="8.85546875" style="48"/>
    <col min="43" max="43" width="10" style="48" bestFit="1" customWidth="1"/>
    <col min="44" max="46" width="8.85546875" style="48"/>
    <col min="47" max="16384" width="8.85546875" style="5"/>
  </cols>
  <sheetData>
    <row r="1" spans="1:51" s="46" customFormat="1">
      <c r="A1" s="45" t="s">
        <v>12</v>
      </c>
      <c r="M1" s="48"/>
      <c r="N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</row>
    <row r="2" spans="1:51" s="46" customFormat="1">
      <c r="A2" s="71" t="s">
        <v>24</v>
      </c>
      <c r="C2" s="46" t="s">
        <v>28</v>
      </c>
      <c r="I2" s="46" t="s">
        <v>26</v>
      </c>
      <c r="J2" s="46" t="s">
        <v>31</v>
      </c>
      <c r="M2" s="48"/>
      <c r="N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</row>
    <row r="3" spans="1:51" s="46" customFormat="1">
      <c r="A3" s="71" t="s">
        <v>25</v>
      </c>
      <c r="C3" s="46" t="s">
        <v>29</v>
      </c>
      <c r="M3" s="48"/>
      <c r="N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</row>
    <row r="4" spans="1:51" s="46" customFormat="1">
      <c r="A4" s="71" t="s">
        <v>27</v>
      </c>
      <c r="C4" s="72" t="s">
        <v>47</v>
      </c>
      <c r="M4" s="48"/>
      <c r="N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</row>
    <row r="5" spans="1:51" s="46" customFormat="1">
      <c r="A5" s="45"/>
      <c r="M5" s="48"/>
      <c r="N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</row>
    <row r="6" spans="1:51" s="46" customFormat="1">
      <c r="A6" s="45" t="s">
        <v>13</v>
      </c>
      <c r="M6" s="48"/>
      <c r="N6" s="48"/>
      <c r="O6" s="45" t="s">
        <v>9</v>
      </c>
      <c r="P6" s="45"/>
      <c r="Q6" s="45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</row>
    <row r="7" spans="1:51" s="23" customFormat="1" ht="31.5">
      <c r="A7" s="73" t="s">
        <v>0</v>
      </c>
      <c r="B7" s="73"/>
      <c r="C7" s="59" t="s">
        <v>32</v>
      </c>
      <c r="D7" s="59" t="s">
        <v>33</v>
      </c>
      <c r="E7" s="59" t="s">
        <v>34</v>
      </c>
      <c r="F7" s="59" t="s">
        <v>35</v>
      </c>
      <c r="G7" s="59" t="s">
        <v>36</v>
      </c>
      <c r="H7" s="59" t="s">
        <v>45</v>
      </c>
      <c r="I7" s="59" t="s">
        <v>38</v>
      </c>
      <c r="J7" s="59" t="s">
        <v>39</v>
      </c>
      <c r="K7" s="59" t="s">
        <v>40</v>
      </c>
      <c r="L7" s="59"/>
      <c r="M7" s="60"/>
      <c r="N7" s="60"/>
      <c r="O7" s="59" t="str">
        <f>C7</f>
        <v>Private Car</v>
      </c>
      <c r="P7" s="59" t="str">
        <f>D7</f>
        <v>MC</v>
      </c>
      <c r="Q7" s="59" t="str">
        <f t="shared" ref="Q7:X7" si="0">E7</f>
        <v>Tricycle</v>
      </c>
      <c r="R7" s="59" t="str">
        <f t="shared" si="0"/>
        <v>PUJ</v>
      </c>
      <c r="S7" s="59" t="str">
        <f t="shared" si="0"/>
        <v>Public Van</v>
      </c>
      <c r="T7" s="59" t="str">
        <f t="shared" si="0"/>
        <v>Bus</v>
      </c>
      <c r="U7" s="59" t="str">
        <f t="shared" si="0"/>
        <v>Truck</v>
      </c>
      <c r="V7" s="59" t="str">
        <f t="shared" si="0"/>
        <v>Light Goods</v>
      </c>
      <c r="W7" s="59" t="str">
        <f t="shared" si="0"/>
        <v>Others</v>
      </c>
      <c r="X7" s="59">
        <f t="shared" si="0"/>
        <v>0</v>
      </c>
      <c r="Y7" s="61" t="s">
        <v>10</v>
      </c>
      <c r="Z7" s="62" t="s">
        <v>1</v>
      </c>
      <c r="AA7" s="62" t="s">
        <v>2</v>
      </c>
      <c r="AB7" s="61" t="s">
        <v>3</v>
      </c>
      <c r="AC7" s="63" t="s">
        <v>4</v>
      </c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</row>
    <row r="8" spans="1:51">
      <c r="A8" s="6">
        <v>2.0833333333333332E-2</v>
      </c>
      <c r="C8" s="65" t="s">
        <v>6</v>
      </c>
      <c r="D8" s="65" t="s">
        <v>6</v>
      </c>
      <c r="E8" s="65" t="s">
        <v>6</v>
      </c>
      <c r="F8" s="65" t="s">
        <v>6</v>
      </c>
      <c r="G8" s="44" t="s">
        <v>8</v>
      </c>
      <c r="H8" s="65" t="s">
        <v>6</v>
      </c>
      <c r="I8" s="44" t="s">
        <v>8</v>
      </c>
      <c r="J8" s="44" t="s">
        <v>8</v>
      </c>
      <c r="K8" s="44" t="s">
        <v>8</v>
      </c>
      <c r="L8" s="44"/>
      <c r="M8" s="57"/>
      <c r="N8" s="57" t="s">
        <v>5</v>
      </c>
      <c r="O8" s="8">
        <v>0.5</v>
      </c>
      <c r="P8" s="8">
        <v>0.5</v>
      </c>
      <c r="Q8" s="8">
        <v>1</v>
      </c>
      <c r="R8" s="8">
        <v>1</v>
      </c>
      <c r="S8" s="8">
        <v>1</v>
      </c>
      <c r="T8" s="8">
        <v>1.5</v>
      </c>
      <c r="U8" s="8">
        <v>2</v>
      </c>
      <c r="V8" s="7">
        <v>1.5</v>
      </c>
      <c r="W8" s="7">
        <v>2.5</v>
      </c>
      <c r="X8" s="7">
        <v>1</v>
      </c>
      <c r="Y8" s="9"/>
      <c r="Z8" s="10"/>
      <c r="AA8" s="10"/>
      <c r="AB8" s="9"/>
      <c r="AC8" s="11"/>
      <c r="AG8" s="68" t="s">
        <v>19</v>
      </c>
      <c r="AQ8" s="48" t="s">
        <v>20</v>
      </c>
    </row>
    <row r="9" spans="1:51">
      <c r="A9" s="1"/>
      <c r="B9" s="12" t="s">
        <v>7</v>
      </c>
      <c r="C9" s="8"/>
      <c r="D9" s="8"/>
      <c r="E9" s="8"/>
      <c r="F9" s="8"/>
      <c r="G9" s="8"/>
      <c r="H9" s="8"/>
      <c r="I9" s="12"/>
      <c r="J9" s="12"/>
      <c r="K9" s="12"/>
      <c r="L9" s="12"/>
      <c r="M9" s="58"/>
      <c r="N9" s="12" t="s">
        <v>17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4"/>
      <c r="Z9" s="15"/>
      <c r="AA9" s="15"/>
      <c r="AB9" s="14"/>
      <c r="AC9" s="16"/>
      <c r="AG9" s="48" t="s">
        <v>21</v>
      </c>
    </row>
    <row r="10" spans="1:51">
      <c r="A10" s="3">
        <v>0.29166666666666674</v>
      </c>
      <c r="B10" s="3">
        <f t="shared" ref="B10:B65" si="1">$A$8+A10</f>
        <v>0.31250000000000006</v>
      </c>
      <c r="C10" s="21"/>
      <c r="D10" s="21"/>
      <c r="E10" s="22"/>
      <c r="F10" s="22"/>
      <c r="G10" s="22"/>
      <c r="H10" s="22"/>
      <c r="I10" s="22"/>
      <c r="J10" s="22"/>
      <c r="K10" s="22"/>
      <c r="L10" s="22"/>
      <c r="O10" s="34">
        <v>9</v>
      </c>
      <c r="P10" s="34">
        <v>54</v>
      </c>
      <c r="Q10" s="34">
        <v>75</v>
      </c>
      <c r="R10" s="35">
        <v>1</v>
      </c>
      <c r="S10" s="35">
        <v>1</v>
      </c>
      <c r="T10" s="35">
        <f t="shared" ref="R10:X25" si="2">H10-H9</f>
        <v>0</v>
      </c>
      <c r="U10" s="35">
        <v>1</v>
      </c>
      <c r="V10" s="35">
        <v>1</v>
      </c>
      <c r="W10" s="35">
        <f t="shared" si="2"/>
        <v>0</v>
      </c>
      <c r="X10" s="35">
        <f t="shared" si="2"/>
        <v>0</v>
      </c>
      <c r="Y10" s="36">
        <f t="shared" ref="Y10:Y65" si="3">O10+Q10+R10</f>
        <v>85</v>
      </c>
      <c r="Z10" s="37">
        <f t="shared" ref="Z10:Z65" si="4">S10+T10+U10+P10</f>
        <v>56</v>
      </c>
      <c r="AA10" s="37">
        <f t="shared" ref="AA10:AA65" si="5">V10+W10</f>
        <v>1</v>
      </c>
      <c r="AB10" s="36">
        <f t="shared" ref="AB10:AB65" si="6">SUM(O10:W10)</f>
        <v>142</v>
      </c>
      <c r="AC10" s="38">
        <f t="shared" ref="AC10:AC65" si="7">SUM(AG10:AO10)</f>
        <v>112</v>
      </c>
      <c r="AG10" s="66">
        <f t="shared" ref="AG10:AO37" si="8">O10*O$8</f>
        <v>4.5</v>
      </c>
      <c r="AH10" s="66">
        <f t="shared" si="8"/>
        <v>27</v>
      </c>
      <c r="AI10" s="66">
        <f t="shared" si="8"/>
        <v>75</v>
      </c>
      <c r="AJ10" s="66">
        <f t="shared" si="8"/>
        <v>1</v>
      </c>
      <c r="AK10" s="66">
        <f t="shared" si="8"/>
        <v>1</v>
      </c>
      <c r="AL10" s="66">
        <f t="shared" si="8"/>
        <v>0</v>
      </c>
      <c r="AM10" s="66">
        <f t="shared" si="8"/>
        <v>2</v>
      </c>
      <c r="AN10" s="66">
        <f t="shared" si="8"/>
        <v>1.5</v>
      </c>
      <c r="AO10" s="66">
        <f t="shared" si="8"/>
        <v>0</v>
      </c>
      <c r="AQ10" s="49">
        <f t="shared" ref="AQ10:AY10" si="9">SUM(O10:O13)</f>
        <v>33</v>
      </c>
      <c r="AR10" s="49">
        <f t="shared" si="9"/>
        <v>130</v>
      </c>
      <c r="AS10" s="49">
        <f t="shared" si="9"/>
        <v>248</v>
      </c>
      <c r="AT10" s="49">
        <f t="shared" si="9"/>
        <v>2</v>
      </c>
      <c r="AU10" s="49">
        <f t="shared" si="9"/>
        <v>1</v>
      </c>
      <c r="AV10" s="49">
        <f t="shared" si="9"/>
        <v>0</v>
      </c>
      <c r="AW10" s="49">
        <f t="shared" si="9"/>
        <v>1</v>
      </c>
      <c r="AX10" s="49">
        <f t="shared" si="9"/>
        <v>4</v>
      </c>
      <c r="AY10" s="49">
        <f t="shared" si="9"/>
        <v>0</v>
      </c>
    </row>
    <row r="11" spans="1:51">
      <c r="A11" s="1">
        <f t="shared" ref="A11:A65" si="10">B10</f>
        <v>0.31250000000000006</v>
      </c>
      <c r="B11" s="1">
        <f t="shared" si="1"/>
        <v>0.33333333333333337</v>
      </c>
      <c r="C11" s="17"/>
      <c r="D11" s="17"/>
      <c r="E11" s="18"/>
      <c r="F11" s="18"/>
      <c r="G11" s="18"/>
      <c r="H11" s="18"/>
      <c r="I11" s="18"/>
      <c r="J11" s="18"/>
      <c r="K11" s="18"/>
      <c r="L11" s="18"/>
      <c r="O11" s="24">
        <v>9</v>
      </c>
      <c r="P11" s="24">
        <v>33</v>
      </c>
      <c r="Q11" s="24">
        <v>53</v>
      </c>
      <c r="R11" s="25">
        <v>1</v>
      </c>
      <c r="S11" s="25">
        <f t="shared" si="2"/>
        <v>0</v>
      </c>
      <c r="T11" s="25">
        <f t="shared" si="2"/>
        <v>0</v>
      </c>
      <c r="U11" s="25">
        <f t="shared" si="2"/>
        <v>0</v>
      </c>
      <c r="V11" s="25">
        <v>1</v>
      </c>
      <c r="W11" s="25">
        <f t="shared" si="2"/>
        <v>0</v>
      </c>
      <c r="X11" s="25">
        <f t="shared" si="2"/>
        <v>0</v>
      </c>
      <c r="Y11" s="26">
        <f t="shared" si="3"/>
        <v>63</v>
      </c>
      <c r="Z11" s="27">
        <f t="shared" si="4"/>
        <v>33</v>
      </c>
      <c r="AA11" s="27">
        <f t="shared" si="5"/>
        <v>1</v>
      </c>
      <c r="AB11" s="26">
        <f t="shared" si="6"/>
        <v>97</v>
      </c>
      <c r="AC11" s="28">
        <f t="shared" si="7"/>
        <v>76.5</v>
      </c>
      <c r="AG11" s="66">
        <f t="shared" si="8"/>
        <v>4.5</v>
      </c>
      <c r="AH11" s="66">
        <f t="shared" si="8"/>
        <v>16.5</v>
      </c>
      <c r="AI11" s="66">
        <f t="shared" si="8"/>
        <v>53</v>
      </c>
      <c r="AJ11" s="66">
        <f t="shared" si="8"/>
        <v>1</v>
      </c>
      <c r="AK11" s="66">
        <f t="shared" si="8"/>
        <v>0</v>
      </c>
      <c r="AL11" s="66">
        <f t="shared" si="8"/>
        <v>0</v>
      </c>
      <c r="AM11" s="66">
        <f t="shared" si="8"/>
        <v>0</v>
      </c>
      <c r="AN11" s="66">
        <f t="shared" si="8"/>
        <v>1.5</v>
      </c>
      <c r="AO11" s="66">
        <f t="shared" si="8"/>
        <v>0</v>
      </c>
      <c r="AU11" s="48"/>
      <c r="AV11" s="48"/>
      <c r="AW11" s="48"/>
      <c r="AX11" s="48"/>
      <c r="AY11" s="48"/>
    </row>
    <row r="12" spans="1:51">
      <c r="A12" s="1">
        <f t="shared" si="10"/>
        <v>0.33333333333333337</v>
      </c>
      <c r="B12" s="1">
        <f t="shared" si="1"/>
        <v>0.35416666666666669</v>
      </c>
      <c r="C12" s="17"/>
      <c r="D12" s="17"/>
      <c r="E12" s="18"/>
      <c r="F12" s="18"/>
      <c r="G12" s="18"/>
      <c r="H12" s="18"/>
      <c r="I12" s="18"/>
      <c r="J12" s="18"/>
      <c r="K12" s="18"/>
      <c r="L12" s="18"/>
      <c r="O12" s="24">
        <v>7</v>
      </c>
      <c r="P12" s="24">
        <v>12</v>
      </c>
      <c r="Q12" s="24">
        <v>64</v>
      </c>
      <c r="R12" s="25">
        <f t="shared" si="2"/>
        <v>0</v>
      </c>
      <c r="S12" s="25">
        <f t="shared" si="2"/>
        <v>0</v>
      </c>
      <c r="T12" s="25">
        <f t="shared" si="2"/>
        <v>0</v>
      </c>
      <c r="U12" s="25">
        <f t="shared" si="2"/>
        <v>0</v>
      </c>
      <c r="V12" s="25">
        <v>2</v>
      </c>
      <c r="W12" s="25">
        <f t="shared" si="2"/>
        <v>0</v>
      </c>
      <c r="X12" s="25">
        <f t="shared" si="2"/>
        <v>0</v>
      </c>
      <c r="Y12" s="26">
        <f t="shared" si="3"/>
        <v>71</v>
      </c>
      <c r="Z12" s="27">
        <f t="shared" si="4"/>
        <v>12</v>
      </c>
      <c r="AA12" s="27">
        <f t="shared" si="5"/>
        <v>2</v>
      </c>
      <c r="AB12" s="26">
        <f t="shared" si="6"/>
        <v>85</v>
      </c>
      <c r="AC12" s="28">
        <f t="shared" si="7"/>
        <v>76.5</v>
      </c>
      <c r="AG12" s="66">
        <f t="shared" si="8"/>
        <v>3.5</v>
      </c>
      <c r="AH12" s="66">
        <f t="shared" si="8"/>
        <v>6</v>
      </c>
      <c r="AI12" s="66">
        <f t="shared" si="8"/>
        <v>64</v>
      </c>
      <c r="AJ12" s="66">
        <f t="shared" si="8"/>
        <v>0</v>
      </c>
      <c r="AK12" s="66">
        <f t="shared" si="8"/>
        <v>0</v>
      </c>
      <c r="AL12" s="66">
        <f t="shared" si="8"/>
        <v>0</v>
      </c>
      <c r="AM12" s="66">
        <f t="shared" si="8"/>
        <v>0</v>
      </c>
      <c r="AN12" s="66">
        <f t="shared" si="8"/>
        <v>3</v>
      </c>
      <c r="AO12" s="66">
        <f t="shared" si="8"/>
        <v>0</v>
      </c>
      <c r="AU12" s="48"/>
      <c r="AV12" s="48"/>
      <c r="AW12" s="48"/>
      <c r="AX12" s="48"/>
      <c r="AY12" s="48"/>
    </row>
    <row r="13" spans="1:51">
      <c r="A13" s="2">
        <f t="shared" si="10"/>
        <v>0.35416666666666669</v>
      </c>
      <c r="B13" s="2">
        <f t="shared" si="1"/>
        <v>0.375</v>
      </c>
      <c r="C13" s="19"/>
      <c r="D13" s="19"/>
      <c r="E13" s="20"/>
      <c r="F13" s="20"/>
      <c r="G13" s="20"/>
      <c r="H13" s="20"/>
      <c r="I13" s="20"/>
      <c r="J13" s="20"/>
      <c r="K13" s="20"/>
      <c r="L13" s="20"/>
      <c r="O13" s="29">
        <v>8</v>
      </c>
      <c r="P13" s="29">
        <v>31</v>
      </c>
      <c r="Q13" s="29">
        <v>56</v>
      </c>
      <c r="R13" s="30">
        <f t="shared" si="2"/>
        <v>0</v>
      </c>
      <c r="S13" s="30">
        <f t="shared" si="2"/>
        <v>0</v>
      </c>
      <c r="T13" s="30">
        <f t="shared" si="2"/>
        <v>0</v>
      </c>
      <c r="U13" s="30">
        <f t="shared" si="2"/>
        <v>0</v>
      </c>
      <c r="V13" s="30">
        <v>0</v>
      </c>
      <c r="W13" s="30">
        <f t="shared" si="2"/>
        <v>0</v>
      </c>
      <c r="X13" s="30">
        <f t="shared" si="2"/>
        <v>0</v>
      </c>
      <c r="Y13" s="31">
        <f t="shared" si="3"/>
        <v>64</v>
      </c>
      <c r="Z13" s="32">
        <f t="shared" si="4"/>
        <v>31</v>
      </c>
      <c r="AA13" s="32">
        <f t="shared" si="5"/>
        <v>0</v>
      </c>
      <c r="AB13" s="31">
        <f t="shared" si="6"/>
        <v>95</v>
      </c>
      <c r="AC13" s="33">
        <f t="shared" si="7"/>
        <v>75.5</v>
      </c>
      <c r="AG13" s="66">
        <f t="shared" si="8"/>
        <v>4</v>
      </c>
      <c r="AH13" s="66">
        <f t="shared" si="8"/>
        <v>15.5</v>
      </c>
      <c r="AI13" s="66">
        <f t="shared" si="8"/>
        <v>56</v>
      </c>
      <c r="AJ13" s="66">
        <f t="shared" si="8"/>
        <v>0</v>
      </c>
      <c r="AK13" s="66">
        <f t="shared" si="8"/>
        <v>0</v>
      </c>
      <c r="AL13" s="66">
        <f t="shared" si="8"/>
        <v>0</v>
      </c>
      <c r="AM13" s="66">
        <f t="shared" si="8"/>
        <v>0</v>
      </c>
      <c r="AN13" s="66">
        <f t="shared" si="8"/>
        <v>0</v>
      </c>
      <c r="AO13" s="66">
        <f t="shared" si="8"/>
        <v>0</v>
      </c>
      <c r="AU13" s="48"/>
      <c r="AV13" s="48"/>
      <c r="AW13" s="48"/>
      <c r="AX13" s="48"/>
      <c r="AY13" s="48"/>
    </row>
    <row r="14" spans="1:51">
      <c r="A14" s="3">
        <f t="shared" si="10"/>
        <v>0.375</v>
      </c>
      <c r="B14" s="3">
        <f t="shared" si="1"/>
        <v>0.39583333333333331</v>
      </c>
      <c r="C14" s="21"/>
      <c r="D14" s="21"/>
      <c r="E14" s="22"/>
      <c r="F14" s="22"/>
      <c r="G14" s="22"/>
      <c r="H14" s="22"/>
      <c r="I14" s="22"/>
      <c r="J14" s="22"/>
      <c r="K14" s="22"/>
      <c r="L14" s="22"/>
      <c r="O14" s="34">
        <v>8</v>
      </c>
      <c r="P14" s="34">
        <v>16</v>
      </c>
      <c r="Q14" s="34">
        <v>38</v>
      </c>
      <c r="R14" s="35">
        <f t="shared" si="2"/>
        <v>0</v>
      </c>
      <c r="S14" s="35">
        <f t="shared" si="2"/>
        <v>0</v>
      </c>
      <c r="T14" s="35">
        <f t="shared" si="2"/>
        <v>0</v>
      </c>
      <c r="U14" s="35">
        <v>1</v>
      </c>
      <c r="V14" s="35">
        <v>1</v>
      </c>
      <c r="W14" s="35">
        <f t="shared" si="2"/>
        <v>0</v>
      </c>
      <c r="X14" s="35">
        <f t="shared" si="2"/>
        <v>0</v>
      </c>
      <c r="Y14" s="36">
        <f t="shared" si="3"/>
        <v>46</v>
      </c>
      <c r="Z14" s="37">
        <f t="shared" si="4"/>
        <v>17</v>
      </c>
      <c r="AA14" s="37">
        <f t="shared" si="5"/>
        <v>1</v>
      </c>
      <c r="AB14" s="36">
        <f t="shared" si="6"/>
        <v>64</v>
      </c>
      <c r="AC14" s="38">
        <f t="shared" si="7"/>
        <v>53.5</v>
      </c>
      <c r="AG14" s="66">
        <f t="shared" si="8"/>
        <v>4</v>
      </c>
      <c r="AH14" s="66">
        <f t="shared" si="8"/>
        <v>8</v>
      </c>
      <c r="AI14" s="66">
        <f t="shared" si="8"/>
        <v>38</v>
      </c>
      <c r="AJ14" s="66">
        <f t="shared" si="8"/>
        <v>0</v>
      </c>
      <c r="AK14" s="66">
        <f t="shared" si="8"/>
        <v>0</v>
      </c>
      <c r="AL14" s="66">
        <f t="shared" si="8"/>
        <v>0</v>
      </c>
      <c r="AM14" s="66">
        <f t="shared" si="8"/>
        <v>2</v>
      </c>
      <c r="AN14" s="66">
        <f t="shared" si="8"/>
        <v>1.5</v>
      </c>
      <c r="AO14" s="66">
        <f t="shared" si="8"/>
        <v>0</v>
      </c>
      <c r="AQ14" s="49">
        <f t="shared" ref="AQ14:AY14" si="11">SUM(O14:O17)</f>
        <v>29</v>
      </c>
      <c r="AR14" s="49">
        <f t="shared" si="11"/>
        <v>71</v>
      </c>
      <c r="AS14" s="49">
        <f t="shared" si="11"/>
        <v>116</v>
      </c>
      <c r="AT14" s="49">
        <f t="shared" si="11"/>
        <v>0</v>
      </c>
      <c r="AU14" s="49">
        <f t="shared" si="11"/>
        <v>0</v>
      </c>
      <c r="AV14" s="49">
        <f t="shared" si="11"/>
        <v>0</v>
      </c>
      <c r="AW14" s="49">
        <f t="shared" si="11"/>
        <v>3</v>
      </c>
      <c r="AX14" s="49">
        <f t="shared" si="11"/>
        <v>3</v>
      </c>
      <c r="AY14" s="49">
        <f t="shared" si="11"/>
        <v>0</v>
      </c>
    </row>
    <row r="15" spans="1:51">
      <c r="A15" s="1">
        <f t="shared" si="10"/>
        <v>0.39583333333333331</v>
      </c>
      <c r="B15" s="1">
        <f t="shared" si="1"/>
        <v>0.41666666666666663</v>
      </c>
      <c r="C15" s="17"/>
      <c r="D15" s="17"/>
      <c r="E15" s="18"/>
      <c r="F15" s="18"/>
      <c r="G15" s="18"/>
      <c r="H15" s="18"/>
      <c r="I15" s="18"/>
      <c r="J15" s="18"/>
      <c r="K15" s="18"/>
      <c r="L15" s="18"/>
      <c r="O15" s="24">
        <v>6</v>
      </c>
      <c r="P15" s="24">
        <v>7</v>
      </c>
      <c r="Q15" s="24">
        <v>27</v>
      </c>
      <c r="R15" s="25">
        <f t="shared" si="2"/>
        <v>0</v>
      </c>
      <c r="S15" s="25">
        <f t="shared" si="2"/>
        <v>0</v>
      </c>
      <c r="T15" s="25">
        <f t="shared" si="2"/>
        <v>0</v>
      </c>
      <c r="U15" s="25">
        <f t="shared" si="2"/>
        <v>0</v>
      </c>
      <c r="V15" s="25">
        <v>0</v>
      </c>
      <c r="W15" s="25">
        <f t="shared" si="2"/>
        <v>0</v>
      </c>
      <c r="X15" s="25">
        <f t="shared" si="2"/>
        <v>0</v>
      </c>
      <c r="Y15" s="26">
        <f t="shared" si="3"/>
        <v>33</v>
      </c>
      <c r="Z15" s="27">
        <f t="shared" si="4"/>
        <v>7</v>
      </c>
      <c r="AA15" s="27">
        <f t="shared" si="5"/>
        <v>0</v>
      </c>
      <c r="AB15" s="26">
        <f t="shared" si="6"/>
        <v>40</v>
      </c>
      <c r="AC15" s="28">
        <f t="shared" si="7"/>
        <v>33.5</v>
      </c>
      <c r="AG15" s="66">
        <f t="shared" si="8"/>
        <v>3</v>
      </c>
      <c r="AH15" s="66">
        <f t="shared" si="8"/>
        <v>3.5</v>
      </c>
      <c r="AI15" s="66">
        <f t="shared" si="8"/>
        <v>27</v>
      </c>
      <c r="AJ15" s="66">
        <f t="shared" si="8"/>
        <v>0</v>
      </c>
      <c r="AK15" s="66">
        <f t="shared" si="8"/>
        <v>0</v>
      </c>
      <c r="AL15" s="66">
        <f t="shared" si="8"/>
        <v>0</v>
      </c>
      <c r="AM15" s="66">
        <f t="shared" si="8"/>
        <v>0</v>
      </c>
      <c r="AN15" s="66">
        <f t="shared" si="8"/>
        <v>0</v>
      </c>
      <c r="AO15" s="66">
        <f t="shared" si="8"/>
        <v>0</v>
      </c>
      <c r="AU15" s="48"/>
      <c r="AV15" s="48"/>
      <c r="AW15" s="48"/>
      <c r="AX15" s="48"/>
      <c r="AY15" s="48"/>
    </row>
    <row r="16" spans="1:51">
      <c r="A16" s="1">
        <f t="shared" si="10"/>
        <v>0.41666666666666663</v>
      </c>
      <c r="B16" s="1">
        <f t="shared" si="1"/>
        <v>0.43749999999999994</v>
      </c>
      <c r="C16" s="17"/>
      <c r="D16" s="17"/>
      <c r="E16" s="18"/>
      <c r="F16" s="18"/>
      <c r="G16" s="18"/>
      <c r="H16" s="18"/>
      <c r="I16" s="18"/>
      <c r="J16" s="18"/>
      <c r="K16" s="18"/>
      <c r="L16" s="18"/>
      <c r="O16" s="24">
        <v>11</v>
      </c>
      <c r="P16" s="24">
        <v>28</v>
      </c>
      <c r="Q16" s="24">
        <v>39</v>
      </c>
      <c r="R16" s="25">
        <f t="shared" si="2"/>
        <v>0</v>
      </c>
      <c r="S16" s="25">
        <f t="shared" si="2"/>
        <v>0</v>
      </c>
      <c r="T16" s="25">
        <f t="shared" si="2"/>
        <v>0</v>
      </c>
      <c r="U16" s="25">
        <f t="shared" si="2"/>
        <v>0</v>
      </c>
      <c r="V16" s="25">
        <v>2</v>
      </c>
      <c r="W16" s="25">
        <f t="shared" si="2"/>
        <v>0</v>
      </c>
      <c r="X16" s="25">
        <f t="shared" si="2"/>
        <v>0</v>
      </c>
      <c r="Y16" s="26">
        <f t="shared" si="3"/>
        <v>50</v>
      </c>
      <c r="Z16" s="27">
        <f t="shared" si="4"/>
        <v>28</v>
      </c>
      <c r="AA16" s="27">
        <f t="shared" si="5"/>
        <v>2</v>
      </c>
      <c r="AB16" s="26">
        <f t="shared" si="6"/>
        <v>80</v>
      </c>
      <c r="AC16" s="28">
        <f t="shared" si="7"/>
        <v>61.5</v>
      </c>
      <c r="AG16" s="66">
        <f t="shared" si="8"/>
        <v>5.5</v>
      </c>
      <c r="AH16" s="66">
        <f t="shared" si="8"/>
        <v>14</v>
      </c>
      <c r="AI16" s="66">
        <f t="shared" si="8"/>
        <v>39</v>
      </c>
      <c r="AJ16" s="66">
        <f t="shared" si="8"/>
        <v>0</v>
      </c>
      <c r="AK16" s="66">
        <f t="shared" si="8"/>
        <v>0</v>
      </c>
      <c r="AL16" s="66">
        <f t="shared" si="8"/>
        <v>0</v>
      </c>
      <c r="AM16" s="66">
        <f t="shared" si="8"/>
        <v>0</v>
      </c>
      <c r="AN16" s="66">
        <f t="shared" si="8"/>
        <v>3</v>
      </c>
      <c r="AO16" s="66">
        <f t="shared" si="8"/>
        <v>0</v>
      </c>
      <c r="AU16" s="48"/>
      <c r="AV16" s="48"/>
      <c r="AW16" s="48"/>
      <c r="AX16" s="48"/>
      <c r="AY16" s="48"/>
    </row>
    <row r="17" spans="1:51">
      <c r="A17" s="2">
        <f t="shared" si="10"/>
        <v>0.43749999999999994</v>
      </c>
      <c r="B17" s="2">
        <f t="shared" si="1"/>
        <v>0.45833333333333326</v>
      </c>
      <c r="C17" s="19"/>
      <c r="D17" s="19"/>
      <c r="E17" s="20"/>
      <c r="F17" s="20"/>
      <c r="G17" s="20"/>
      <c r="H17" s="20"/>
      <c r="I17" s="20"/>
      <c r="J17" s="20"/>
      <c r="K17" s="20"/>
      <c r="L17" s="20"/>
      <c r="O17" s="29">
        <v>4</v>
      </c>
      <c r="P17" s="29">
        <v>20</v>
      </c>
      <c r="Q17" s="29">
        <v>12</v>
      </c>
      <c r="R17" s="30">
        <v>0</v>
      </c>
      <c r="S17" s="30">
        <f t="shared" si="2"/>
        <v>0</v>
      </c>
      <c r="T17" s="30">
        <f t="shared" si="2"/>
        <v>0</v>
      </c>
      <c r="U17" s="30">
        <v>2</v>
      </c>
      <c r="V17" s="30">
        <f t="shared" si="2"/>
        <v>0</v>
      </c>
      <c r="W17" s="30">
        <f t="shared" si="2"/>
        <v>0</v>
      </c>
      <c r="X17" s="30">
        <f t="shared" si="2"/>
        <v>0</v>
      </c>
      <c r="Y17" s="31">
        <f t="shared" si="3"/>
        <v>16</v>
      </c>
      <c r="Z17" s="32">
        <f t="shared" si="4"/>
        <v>22</v>
      </c>
      <c r="AA17" s="32">
        <f t="shared" si="5"/>
        <v>0</v>
      </c>
      <c r="AB17" s="31">
        <f t="shared" si="6"/>
        <v>38</v>
      </c>
      <c r="AC17" s="33">
        <f t="shared" si="7"/>
        <v>28</v>
      </c>
      <c r="AG17" s="66">
        <f t="shared" si="8"/>
        <v>2</v>
      </c>
      <c r="AH17" s="66">
        <f t="shared" si="8"/>
        <v>10</v>
      </c>
      <c r="AI17" s="66">
        <f t="shared" si="8"/>
        <v>12</v>
      </c>
      <c r="AJ17" s="66">
        <f t="shared" si="8"/>
        <v>0</v>
      </c>
      <c r="AK17" s="66">
        <f t="shared" si="8"/>
        <v>0</v>
      </c>
      <c r="AL17" s="66">
        <f t="shared" si="8"/>
        <v>0</v>
      </c>
      <c r="AM17" s="66">
        <f t="shared" si="8"/>
        <v>4</v>
      </c>
      <c r="AN17" s="66">
        <f t="shared" si="8"/>
        <v>0</v>
      </c>
      <c r="AO17" s="66">
        <f t="shared" si="8"/>
        <v>0</v>
      </c>
      <c r="AU17" s="48"/>
      <c r="AV17" s="48"/>
      <c r="AW17" s="48"/>
      <c r="AX17" s="48"/>
      <c r="AY17" s="48"/>
    </row>
    <row r="18" spans="1:51">
      <c r="A18" s="3">
        <f t="shared" si="10"/>
        <v>0.45833333333333326</v>
      </c>
      <c r="B18" s="3">
        <f t="shared" si="1"/>
        <v>0.47916666666666657</v>
      </c>
      <c r="C18" s="21"/>
      <c r="D18" s="21"/>
      <c r="E18" s="22"/>
      <c r="F18" s="22"/>
      <c r="G18" s="22"/>
      <c r="H18" s="22"/>
      <c r="I18" s="22"/>
      <c r="J18" s="22"/>
      <c r="K18" s="22"/>
      <c r="L18" s="22"/>
      <c r="O18" s="34">
        <v>7</v>
      </c>
      <c r="P18" s="34">
        <v>34</v>
      </c>
      <c r="Q18" s="34">
        <v>34</v>
      </c>
      <c r="R18" s="35">
        <v>0</v>
      </c>
      <c r="S18" s="35">
        <f t="shared" si="2"/>
        <v>0</v>
      </c>
      <c r="T18" s="35">
        <f t="shared" si="2"/>
        <v>0</v>
      </c>
      <c r="U18" s="35">
        <v>0</v>
      </c>
      <c r="V18" s="35">
        <v>0</v>
      </c>
      <c r="W18" s="35">
        <f t="shared" si="2"/>
        <v>0</v>
      </c>
      <c r="X18" s="35">
        <f t="shared" si="2"/>
        <v>0</v>
      </c>
      <c r="Y18" s="36">
        <f t="shared" si="3"/>
        <v>41</v>
      </c>
      <c r="Z18" s="37">
        <f t="shared" si="4"/>
        <v>34</v>
      </c>
      <c r="AA18" s="37">
        <f t="shared" si="5"/>
        <v>0</v>
      </c>
      <c r="AB18" s="36">
        <f t="shared" si="6"/>
        <v>75</v>
      </c>
      <c r="AC18" s="38">
        <f t="shared" si="7"/>
        <v>54.5</v>
      </c>
      <c r="AG18" s="66">
        <f t="shared" si="8"/>
        <v>3.5</v>
      </c>
      <c r="AH18" s="66">
        <f t="shared" si="8"/>
        <v>17</v>
      </c>
      <c r="AI18" s="66">
        <f t="shared" si="8"/>
        <v>34</v>
      </c>
      <c r="AJ18" s="66">
        <f t="shared" si="8"/>
        <v>0</v>
      </c>
      <c r="AK18" s="66">
        <f t="shared" si="8"/>
        <v>0</v>
      </c>
      <c r="AL18" s="66">
        <f t="shared" si="8"/>
        <v>0</v>
      </c>
      <c r="AM18" s="66">
        <f t="shared" si="8"/>
        <v>0</v>
      </c>
      <c r="AN18" s="66">
        <f t="shared" si="8"/>
        <v>0</v>
      </c>
      <c r="AO18" s="66">
        <f t="shared" si="8"/>
        <v>0</v>
      </c>
      <c r="AQ18" s="49">
        <f t="shared" ref="AQ18:AY18" si="12">SUM(O18:O21)</f>
        <v>25</v>
      </c>
      <c r="AR18" s="49">
        <f t="shared" si="12"/>
        <v>115</v>
      </c>
      <c r="AS18" s="49">
        <f t="shared" si="12"/>
        <v>138</v>
      </c>
      <c r="AT18" s="49">
        <f t="shared" si="12"/>
        <v>0</v>
      </c>
      <c r="AU18" s="49">
        <f t="shared" si="12"/>
        <v>0</v>
      </c>
      <c r="AV18" s="49">
        <f t="shared" si="12"/>
        <v>0</v>
      </c>
      <c r="AW18" s="49">
        <f t="shared" si="12"/>
        <v>2</v>
      </c>
      <c r="AX18" s="49">
        <f t="shared" si="12"/>
        <v>2</v>
      </c>
      <c r="AY18" s="49">
        <f t="shared" si="12"/>
        <v>1</v>
      </c>
    </row>
    <row r="19" spans="1:51">
      <c r="A19" s="1">
        <f t="shared" si="10"/>
        <v>0.47916666666666657</v>
      </c>
      <c r="B19" s="1">
        <f t="shared" si="1"/>
        <v>0.49999999999999989</v>
      </c>
      <c r="C19" s="17"/>
      <c r="D19" s="17"/>
      <c r="E19" s="18"/>
      <c r="F19" s="18"/>
      <c r="G19" s="18"/>
      <c r="H19" s="18"/>
      <c r="I19" s="18"/>
      <c r="J19" s="18"/>
      <c r="K19" s="18"/>
      <c r="L19" s="18"/>
      <c r="O19" s="24">
        <v>6</v>
      </c>
      <c r="P19" s="24">
        <v>44</v>
      </c>
      <c r="Q19" s="24">
        <v>22</v>
      </c>
      <c r="R19" s="25">
        <v>0</v>
      </c>
      <c r="S19" s="25">
        <f t="shared" si="2"/>
        <v>0</v>
      </c>
      <c r="T19" s="25">
        <f t="shared" si="2"/>
        <v>0</v>
      </c>
      <c r="U19" s="25">
        <v>2</v>
      </c>
      <c r="V19" s="25">
        <v>1</v>
      </c>
      <c r="W19" s="25">
        <f t="shared" si="2"/>
        <v>0</v>
      </c>
      <c r="X19" s="25">
        <f t="shared" si="2"/>
        <v>0</v>
      </c>
      <c r="Y19" s="26">
        <f t="shared" si="3"/>
        <v>28</v>
      </c>
      <c r="Z19" s="27">
        <f t="shared" si="4"/>
        <v>46</v>
      </c>
      <c r="AA19" s="27">
        <f t="shared" si="5"/>
        <v>1</v>
      </c>
      <c r="AB19" s="26">
        <f t="shared" si="6"/>
        <v>75</v>
      </c>
      <c r="AC19" s="28">
        <f t="shared" si="7"/>
        <v>52.5</v>
      </c>
      <c r="AG19" s="66">
        <f t="shared" si="8"/>
        <v>3</v>
      </c>
      <c r="AH19" s="66">
        <f t="shared" si="8"/>
        <v>22</v>
      </c>
      <c r="AI19" s="66">
        <f t="shared" si="8"/>
        <v>22</v>
      </c>
      <c r="AJ19" s="66">
        <f t="shared" si="8"/>
        <v>0</v>
      </c>
      <c r="AK19" s="66">
        <f t="shared" si="8"/>
        <v>0</v>
      </c>
      <c r="AL19" s="66">
        <f t="shared" si="8"/>
        <v>0</v>
      </c>
      <c r="AM19" s="66">
        <f t="shared" si="8"/>
        <v>4</v>
      </c>
      <c r="AN19" s="66">
        <f t="shared" si="8"/>
        <v>1.5</v>
      </c>
      <c r="AO19" s="66">
        <f t="shared" si="8"/>
        <v>0</v>
      </c>
      <c r="AU19" s="48"/>
      <c r="AV19" s="48"/>
      <c r="AW19" s="48"/>
      <c r="AX19" s="48"/>
      <c r="AY19" s="48"/>
    </row>
    <row r="20" spans="1:51">
      <c r="A20" s="1">
        <f t="shared" si="10"/>
        <v>0.49999999999999989</v>
      </c>
      <c r="B20" s="1">
        <f t="shared" si="1"/>
        <v>0.52083333333333326</v>
      </c>
      <c r="C20" s="17"/>
      <c r="D20" s="17"/>
      <c r="E20" s="18"/>
      <c r="F20" s="18"/>
      <c r="G20" s="18"/>
      <c r="H20" s="18"/>
      <c r="I20" s="18"/>
      <c r="J20" s="18"/>
      <c r="K20" s="18"/>
      <c r="L20" s="18"/>
      <c r="O20" s="24">
        <v>5</v>
      </c>
      <c r="P20" s="24">
        <v>18</v>
      </c>
      <c r="Q20" s="24">
        <v>22</v>
      </c>
      <c r="R20" s="25">
        <v>0</v>
      </c>
      <c r="S20" s="25">
        <f t="shared" si="2"/>
        <v>0</v>
      </c>
      <c r="T20" s="25">
        <f t="shared" si="2"/>
        <v>0</v>
      </c>
      <c r="U20" s="25">
        <v>0</v>
      </c>
      <c r="V20" s="25">
        <v>1</v>
      </c>
      <c r="W20" s="25">
        <f t="shared" si="2"/>
        <v>0</v>
      </c>
      <c r="X20" s="25">
        <f t="shared" si="2"/>
        <v>0</v>
      </c>
      <c r="Y20" s="26">
        <f t="shared" si="3"/>
        <v>27</v>
      </c>
      <c r="Z20" s="27">
        <f t="shared" si="4"/>
        <v>18</v>
      </c>
      <c r="AA20" s="27">
        <f t="shared" si="5"/>
        <v>1</v>
      </c>
      <c r="AB20" s="26">
        <f t="shared" si="6"/>
        <v>46</v>
      </c>
      <c r="AC20" s="28">
        <f t="shared" si="7"/>
        <v>35</v>
      </c>
      <c r="AG20" s="66">
        <f t="shared" si="8"/>
        <v>2.5</v>
      </c>
      <c r="AH20" s="66">
        <f t="shared" si="8"/>
        <v>9</v>
      </c>
      <c r="AI20" s="66">
        <f t="shared" si="8"/>
        <v>22</v>
      </c>
      <c r="AJ20" s="66">
        <f t="shared" si="8"/>
        <v>0</v>
      </c>
      <c r="AK20" s="66">
        <f t="shared" si="8"/>
        <v>0</v>
      </c>
      <c r="AL20" s="66">
        <f t="shared" si="8"/>
        <v>0</v>
      </c>
      <c r="AM20" s="66">
        <f t="shared" si="8"/>
        <v>0</v>
      </c>
      <c r="AN20" s="66">
        <f t="shared" si="8"/>
        <v>1.5</v>
      </c>
      <c r="AO20" s="66">
        <f t="shared" si="8"/>
        <v>0</v>
      </c>
      <c r="AU20" s="48"/>
      <c r="AV20" s="48"/>
      <c r="AW20" s="48"/>
      <c r="AX20" s="48"/>
      <c r="AY20" s="48"/>
    </row>
    <row r="21" spans="1:51">
      <c r="A21" s="2">
        <f t="shared" si="10"/>
        <v>0.52083333333333326</v>
      </c>
      <c r="B21" s="2">
        <f t="shared" si="1"/>
        <v>0.54166666666666663</v>
      </c>
      <c r="C21" s="19"/>
      <c r="D21" s="19"/>
      <c r="E21" s="20"/>
      <c r="F21" s="20"/>
      <c r="G21" s="20"/>
      <c r="H21" s="20"/>
      <c r="I21" s="20"/>
      <c r="J21" s="20"/>
      <c r="K21" s="20"/>
      <c r="L21" s="20"/>
      <c r="O21" s="29">
        <v>7</v>
      </c>
      <c r="P21" s="29">
        <v>19</v>
      </c>
      <c r="Q21" s="29">
        <v>60</v>
      </c>
      <c r="R21" s="30">
        <v>0</v>
      </c>
      <c r="S21" s="30">
        <f t="shared" si="2"/>
        <v>0</v>
      </c>
      <c r="T21" s="30">
        <f t="shared" si="2"/>
        <v>0</v>
      </c>
      <c r="U21" s="30">
        <v>0</v>
      </c>
      <c r="V21" s="30">
        <f t="shared" si="2"/>
        <v>0</v>
      </c>
      <c r="W21" s="30">
        <v>1</v>
      </c>
      <c r="X21" s="30">
        <f t="shared" si="2"/>
        <v>0</v>
      </c>
      <c r="Y21" s="31">
        <f t="shared" si="3"/>
        <v>67</v>
      </c>
      <c r="Z21" s="32">
        <f t="shared" si="4"/>
        <v>19</v>
      </c>
      <c r="AA21" s="32">
        <f t="shared" si="5"/>
        <v>1</v>
      </c>
      <c r="AB21" s="31">
        <f t="shared" si="6"/>
        <v>87</v>
      </c>
      <c r="AC21" s="33">
        <f t="shared" si="7"/>
        <v>75.5</v>
      </c>
      <c r="AG21" s="66">
        <f t="shared" si="8"/>
        <v>3.5</v>
      </c>
      <c r="AH21" s="66">
        <f t="shared" si="8"/>
        <v>9.5</v>
      </c>
      <c r="AI21" s="66">
        <f t="shared" si="8"/>
        <v>60</v>
      </c>
      <c r="AJ21" s="66">
        <f t="shared" si="8"/>
        <v>0</v>
      </c>
      <c r="AK21" s="66">
        <f t="shared" si="8"/>
        <v>0</v>
      </c>
      <c r="AL21" s="66">
        <f t="shared" si="8"/>
        <v>0</v>
      </c>
      <c r="AM21" s="66">
        <f t="shared" si="8"/>
        <v>0</v>
      </c>
      <c r="AN21" s="66">
        <f t="shared" si="8"/>
        <v>0</v>
      </c>
      <c r="AO21" s="66">
        <f t="shared" si="8"/>
        <v>2.5</v>
      </c>
      <c r="AU21" s="48"/>
      <c r="AV21" s="48"/>
      <c r="AW21" s="48"/>
      <c r="AX21" s="48"/>
      <c r="AY21" s="48"/>
    </row>
    <row r="22" spans="1:51">
      <c r="A22" s="3">
        <f t="shared" si="10"/>
        <v>0.54166666666666663</v>
      </c>
      <c r="B22" s="3">
        <f t="shared" si="1"/>
        <v>0.5625</v>
      </c>
      <c r="C22" s="21"/>
      <c r="D22" s="21"/>
      <c r="E22" s="22"/>
      <c r="F22" s="22"/>
      <c r="G22" s="22"/>
      <c r="H22" s="22"/>
      <c r="I22" s="22"/>
      <c r="J22" s="22"/>
      <c r="K22" s="22"/>
      <c r="L22" s="22"/>
      <c r="O22" s="34">
        <v>4</v>
      </c>
      <c r="P22" s="34">
        <v>29</v>
      </c>
      <c r="Q22" s="34">
        <v>34</v>
      </c>
      <c r="R22" s="35">
        <v>0</v>
      </c>
      <c r="S22" s="35">
        <f t="shared" si="2"/>
        <v>0</v>
      </c>
      <c r="T22" s="35">
        <f t="shared" si="2"/>
        <v>0</v>
      </c>
      <c r="U22" s="35">
        <v>0</v>
      </c>
      <c r="V22" s="35">
        <f t="shared" si="2"/>
        <v>0</v>
      </c>
      <c r="W22" s="35">
        <f t="shared" si="2"/>
        <v>0</v>
      </c>
      <c r="X22" s="35">
        <f t="shared" si="2"/>
        <v>0</v>
      </c>
      <c r="Y22" s="36">
        <f t="shared" si="3"/>
        <v>38</v>
      </c>
      <c r="Z22" s="37">
        <f t="shared" si="4"/>
        <v>29</v>
      </c>
      <c r="AA22" s="37">
        <f t="shared" si="5"/>
        <v>0</v>
      </c>
      <c r="AB22" s="36">
        <f t="shared" si="6"/>
        <v>67</v>
      </c>
      <c r="AC22" s="38">
        <f t="shared" si="7"/>
        <v>50.5</v>
      </c>
      <c r="AG22" s="66">
        <f t="shared" si="8"/>
        <v>2</v>
      </c>
      <c r="AH22" s="66">
        <f t="shared" si="8"/>
        <v>14.5</v>
      </c>
      <c r="AI22" s="66">
        <f t="shared" si="8"/>
        <v>34</v>
      </c>
      <c r="AJ22" s="66">
        <f t="shared" si="8"/>
        <v>0</v>
      </c>
      <c r="AK22" s="66">
        <f t="shared" si="8"/>
        <v>0</v>
      </c>
      <c r="AL22" s="66">
        <f t="shared" si="8"/>
        <v>0</v>
      </c>
      <c r="AM22" s="66">
        <f t="shared" si="8"/>
        <v>0</v>
      </c>
      <c r="AN22" s="66">
        <f t="shared" si="8"/>
        <v>0</v>
      </c>
      <c r="AO22" s="66">
        <f t="shared" si="8"/>
        <v>0</v>
      </c>
      <c r="AQ22" s="49">
        <f t="shared" ref="AQ22:AY22" si="13">SUM(O22:O25)</f>
        <v>24</v>
      </c>
      <c r="AR22" s="49">
        <f t="shared" si="13"/>
        <v>72</v>
      </c>
      <c r="AS22" s="49">
        <f t="shared" si="13"/>
        <v>124</v>
      </c>
      <c r="AT22" s="49">
        <f t="shared" si="13"/>
        <v>1</v>
      </c>
      <c r="AU22" s="49">
        <f t="shared" si="13"/>
        <v>0</v>
      </c>
      <c r="AV22" s="49">
        <f t="shared" si="13"/>
        <v>0</v>
      </c>
      <c r="AW22" s="49">
        <f t="shared" si="13"/>
        <v>3</v>
      </c>
      <c r="AX22" s="49">
        <f t="shared" si="13"/>
        <v>2</v>
      </c>
      <c r="AY22" s="49">
        <f t="shared" si="13"/>
        <v>0</v>
      </c>
    </row>
    <row r="23" spans="1:51">
      <c r="A23" s="1">
        <f t="shared" si="10"/>
        <v>0.5625</v>
      </c>
      <c r="B23" s="1">
        <f t="shared" si="1"/>
        <v>0.58333333333333337</v>
      </c>
      <c r="C23" s="17"/>
      <c r="D23" s="17"/>
      <c r="E23" s="18"/>
      <c r="F23" s="18"/>
      <c r="G23" s="18"/>
      <c r="H23" s="18"/>
      <c r="I23" s="18"/>
      <c r="J23" s="18"/>
      <c r="K23" s="18"/>
      <c r="L23" s="18"/>
      <c r="O23" s="24">
        <v>4</v>
      </c>
      <c r="P23" s="24">
        <v>8</v>
      </c>
      <c r="Q23" s="24">
        <v>22</v>
      </c>
      <c r="R23" s="25">
        <v>1</v>
      </c>
      <c r="S23" s="25">
        <f t="shared" si="2"/>
        <v>0</v>
      </c>
      <c r="T23" s="25">
        <f t="shared" si="2"/>
        <v>0</v>
      </c>
      <c r="U23" s="25">
        <v>1</v>
      </c>
      <c r="V23" s="25">
        <f t="shared" si="2"/>
        <v>0</v>
      </c>
      <c r="W23" s="25">
        <f t="shared" si="2"/>
        <v>0</v>
      </c>
      <c r="X23" s="25">
        <f t="shared" si="2"/>
        <v>0</v>
      </c>
      <c r="Y23" s="26">
        <f t="shared" si="3"/>
        <v>27</v>
      </c>
      <c r="Z23" s="27">
        <f t="shared" si="4"/>
        <v>9</v>
      </c>
      <c r="AA23" s="27">
        <f t="shared" si="5"/>
        <v>0</v>
      </c>
      <c r="AB23" s="26">
        <f t="shared" si="6"/>
        <v>36</v>
      </c>
      <c r="AC23" s="28">
        <f t="shared" si="7"/>
        <v>31</v>
      </c>
      <c r="AG23" s="66">
        <f t="shared" si="8"/>
        <v>2</v>
      </c>
      <c r="AH23" s="66">
        <f t="shared" si="8"/>
        <v>4</v>
      </c>
      <c r="AI23" s="66">
        <f t="shared" si="8"/>
        <v>22</v>
      </c>
      <c r="AJ23" s="66">
        <f t="shared" si="8"/>
        <v>1</v>
      </c>
      <c r="AK23" s="66">
        <f t="shared" si="8"/>
        <v>0</v>
      </c>
      <c r="AL23" s="66">
        <f t="shared" si="8"/>
        <v>0</v>
      </c>
      <c r="AM23" s="66">
        <f t="shared" si="8"/>
        <v>2</v>
      </c>
      <c r="AN23" s="66">
        <f t="shared" si="8"/>
        <v>0</v>
      </c>
      <c r="AO23" s="66">
        <f t="shared" si="8"/>
        <v>0</v>
      </c>
      <c r="AU23" s="48"/>
      <c r="AV23" s="48"/>
      <c r="AW23" s="48"/>
      <c r="AX23" s="48"/>
      <c r="AY23" s="48"/>
    </row>
    <row r="24" spans="1:51">
      <c r="A24" s="1">
        <f t="shared" si="10"/>
        <v>0.58333333333333337</v>
      </c>
      <c r="B24" s="1">
        <f t="shared" si="1"/>
        <v>0.60416666666666674</v>
      </c>
      <c r="C24" s="17"/>
      <c r="D24" s="17"/>
      <c r="E24" s="18"/>
      <c r="F24" s="18"/>
      <c r="G24" s="18"/>
      <c r="H24" s="18"/>
      <c r="I24" s="18"/>
      <c r="J24" s="18"/>
      <c r="K24" s="18"/>
      <c r="L24" s="18"/>
      <c r="O24" s="24">
        <v>5</v>
      </c>
      <c r="P24" s="24">
        <v>12</v>
      </c>
      <c r="Q24" s="24">
        <v>32</v>
      </c>
      <c r="R24" s="25">
        <f t="shared" si="2"/>
        <v>0</v>
      </c>
      <c r="S24" s="25">
        <f t="shared" si="2"/>
        <v>0</v>
      </c>
      <c r="T24" s="25">
        <f t="shared" si="2"/>
        <v>0</v>
      </c>
      <c r="U24" s="25">
        <v>1</v>
      </c>
      <c r="V24" s="25">
        <v>1</v>
      </c>
      <c r="W24" s="25">
        <f t="shared" si="2"/>
        <v>0</v>
      </c>
      <c r="X24" s="25">
        <f t="shared" si="2"/>
        <v>0</v>
      </c>
      <c r="Y24" s="26">
        <f t="shared" si="3"/>
        <v>37</v>
      </c>
      <c r="Z24" s="27">
        <f t="shared" si="4"/>
        <v>13</v>
      </c>
      <c r="AA24" s="27">
        <f t="shared" si="5"/>
        <v>1</v>
      </c>
      <c r="AB24" s="26">
        <f t="shared" si="6"/>
        <v>51</v>
      </c>
      <c r="AC24" s="28">
        <f t="shared" si="7"/>
        <v>44</v>
      </c>
      <c r="AG24" s="66">
        <f t="shared" si="8"/>
        <v>2.5</v>
      </c>
      <c r="AH24" s="66">
        <f t="shared" si="8"/>
        <v>6</v>
      </c>
      <c r="AI24" s="66">
        <f t="shared" si="8"/>
        <v>32</v>
      </c>
      <c r="AJ24" s="66">
        <f t="shared" si="8"/>
        <v>0</v>
      </c>
      <c r="AK24" s="66">
        <f t="shared" si="8"/>
        <v>0</v>
      </c>
      <c r="AL24" s="66">
        <f t="shared" si="8"/>
        <v>0</v>
      </c>
      <c r="AM24" s="66">
        <f t="shared" si="8"/>
        <v>2</v>
      </c>
      <c r="AN24" s="66">
        <f t="shared" si="8"/>
        <v>1.5</v>
      </c>
      <c r="AO24" s="66">
        <f t="shared" si="8"/>
        <v>0</v>
      </c>
      <c r="AU24" s="48"/>
      <c r="AV24" s="48"/>
      <c r="AW24" s="48"/>
      <c r="AX24" s="48"/>
      <c r="AY24" s="48"/>
    </row>
    <row r="25" spans="1:51">
      <c r="A25" s="2">
        <f t="shared" si="10"/>
        <v>0.60416666666666674</v>
      </c>
      <c r="B25" s="2">
        <f t="shared" si="1"/>
        <v>0.62500000000000011</v>
      </c>
      <c r="C25" s="19"/>
      <c r="D25" s="19"/>
      <c r="E25" s="20"/>
      <c r="F25" s="20"/>
      <c r="G25" s="20"/>
      <c r="H25" s="20"/>
      <c r="I25" s="20"/>
      <c r="J25" s="20"/>
      <c r="K25" s="20"/>
      <c r="L25" s="20"/>
      <c r="O25" s="29">
        <v>11</v>
      </c>
      <c r="P25" s="29">
        <v>23</v>
      </c>
      <c r="Q25" s="29">
        <v>36</v>
      </c>
      <c r="R25" s="30">
        <f t="shared" si="2"/>
        <v>0</v>
      </c>
      <c r="S25" s="30">
        <f t="shared" si="2"/>
        <v>0</v>
      </c>
      <c r="T25" s="30">
        <f t="shared" si="2"/>
        <v>0</v>
      </c>
      <c r="U25" s="30">
        <v>1</v>
      </c>
      <c r="V25" s="30">
        <v>1</v>
      </c>
      <c r="W25" s="30">
        <f t="shared" si="2"/>
        <v>0</v>
      </c>
      <c r="X25" s="30">
        <f t="shared" si="2"/>
        <v>0</v>
      </c>
      <c r="Y25" s="31">
        <f t="shared" si="3"/>
        <v>47</v>
      </c>
      <c r="Z25" s="32">
        <f t="shared" si="4"/>
        <v>24</v>
      </c>
      <c r="AA25" s="32">
        <f t="shared" si="5"/>
        <v>1</v>
      </c>
      <c r="AB25" s="31">
        <f t="shared" si="6"/>
        <v>72</v>
      </c>
      <c r="AC25" s="33">
        <f t="shared" si="7"/>
        <v>56.5</v>
      </c>
      <c r="AG25" s="66">
        <f t="shared" si="8"/>
        <v>5.5</v>
      </c>
      <c r="AH25" s="66">
        <f t="shared" si="8"/>
        <v>11.5</v>
      </c>
      <c r="AI25" s="66">
        <f t="shared" si="8"/>
        <v>36</v>
      </c>
      <c r="AJ25" s="66">
        <f t="shared" si="8"/>
        <v>0</v>
      </c>
      <c r="AK25" s="66">
        <f t="shared" si="8"/>
        <v>0</v>
      </c>
      <c r="AL25" s="66">
        <f t="shared" si="8"/>
        <v>0</v>
      </c>
      <c r="AM25" s="66">
        <f t="shared" si="8"/>
        <v>2</v>
      </c>
      <c r="AN25" s="66">
        <f t="shared" si="8"/>
        <v>1.5</v>
      </c>
      <c r="AO25" s="66">
        <f t="shared" si="8"/>
        <v>0</v>
      </c>
      <c r="AU25" s="48"/>
      <c r="AV25" s="48"/>
      <c r="AW25" s="48"/>
      <c r="AX25" s="48"/>
      <c r="AY25" s="48"/>
    </row>
    <row r="26" spans="1:51">
      <c r="A26" s="3">
        <f t="shared" si="10"/>
        <v>0.62500000000000011</v>
      </c>
      <c r="B26" s="3">
        <f t="shared" si="1"/>
        <v>0.64583333333333348</v>
      </c>
      <c r="C26" s="21"/>
      <c r="D26" s="21"/>
      <c r="E26" s="22"/>
      <c r="F26" s="22"/>
      <c r="G26" s="22"/>
      <c r="H26" s="22"/>
      <c r="I26" s="22"/>
      <c r="J26" s="22"/>
      <c r="K26" s="22"/>
      <c r="L26" s="22"/>
      <c r="O26" s="34">
        <v>4</v>
      </c>
      <c r="P26" s="34">
        <v>13</v>
      </c>
      <c r="Q26" s="34">
        <v>24</v>
      </c>
      <c r="R26" s="35">
        <f t="shared" ref="O26:X47" si="14">F26-F25</f>
        <v>0</v>
      </c>
      <c r="S26" s="35">
        <f t="shared" si="14"/>
        <v>0</v>
      </c>
      <c r="T26" s="35">
        <f t="shared" si="14"/>
        <v>0</v>
      </c>
      <c r="U26" s="35">
        <f t="shared" si="14"/>
        <v>0</v>
      </c>
      <c r="V26" s="35">
        <v>1</v>
      </c>
      <c r="W26" s="35">
        <f t="shared" si="14"/>
        <v>0</v>
      </c>
      <c r="X26" s="35">
        <f t="shared" si="14"/>
        <v>0</v>
      </c>
      <c r="Y26" s="36">
        <f t="shared" si="3"/>
        <v>28</v>
      </c>
      <c r="Z26" s="37">
        <f t="shared" si="4"/>
        <v>13</v>
      </c>
      <c r="AA26" s="37">
        <f t="shared" si="5"/>
        <v>1</v>
      </c>
      <c r="AB26" s="36">
        <f t="shared" si="6"/>
        <v>42</v>
      </c>
      <c r="AC26" s="38">
        <f t="shared" si="7"/>
        <v>34</v>
      </c>
      <c r="AG26" s="66">
        <f t="shared" si="8"/>
        <v>2</v>
      </c>
      <c r="AH26" s="66">
        <f t="shared" si="8"/>
        <v>6.5</v>
      </c>
      <c r="AI26" s="66">
        <f t="shared" si="8"/>
        <v>24</v>
      </c>
      <c r="AJ26" s="66">
        <f t="shared" si="8"/>
        <v>0</v>
      </c>
      <c r="AK26" s="66">
        <f t="shared" si="8"/>
        <v>0</v>
      </c>
      <c r="AL26" s="66">
        <f t="shared" si="8"/>
        <v>0</v>
      </c>
      <c r="AM26" s="66">
        <f t="shared" si="8"/>
        <v>0</v>
      </c>
      <c r="AN26" s="66">
        <f t="shared" si="8"/>
        <v>1.5</v>
      </c>
      <c r="AO26" s="66">
        <f t="shared" si="8"/>
        <v>0</v>
      </c>
      <c r="AQ26" s="49">
        <f t="shared" ref="AQ26:AY26" si="15">SUM(O26:O29)</f>
        <v>27</v>
      </c>
      <c r="AR26" s="49">
        <f t="shared" si="15"/>
        <v>90</v>
      </c>
      <c r="AS26" s="49">
        <f t="shared" si="15"/>
        <v>103</v>
      </c>
      <c r="AT26" s="49">
        <f t="shared" si="15"/>
        <v>0</v>
      </c>
      <c r="AU26" s="49">
        <f t="shared" si="15"/>
        <v>0</v>
      </c>
      <c r="AV26" s="49">
        <f t="shared" si="15"/>
        <v>0</v>
      </c>
      <c r="AW26" s="49">
        <f t="shared" si="15"/>
        <v>0</v>
      </c>
      <c r="AX26" s="49">
        <f t="shared" si="15"/>
        <v>2</v>
      </c>
      <c r="AY26" s="49">
        <f t="shared" si="15"/>
        <v>1</v>
      </c>
    </row>
    <row r="27" spans="1:51">
      <c r="A27" s="1">
        <f t="shared" si="10"/>
        <v>0.64583333333333348</v>
      </c>
      <c r="B27" s="1">
        <f t="shared" si="1"/>
        <v>0.66666666666666685</v>
      </c>
      <c r="C27" s="17"/>
      <c r="D27" s="17"/>
      <c r="E27" s="18"/>
      <c r="F27" s="18"/>
      <c r="G27" s="18"/>
      <c r="H27" s="18"/>
      <c r="I27" s="18"/>
      <c r="J27" s="18"/>
      <c r="K27" s="18"/>
      <c r="L27" s="18"/>
      <c r="O27" s="24">
        <v>2</v>
      </c>
      <c r="P27" s="24">
        <v>29</v>
      </c>
      <c r="Q27" s="24">
        <v>31</v>
      </c>
      <c r="R27" s="25">
        <f t="shared" si="14"/>
        <v>0</v>
      </c>
      <c r="S27" s="25">
        <f t="shared" si="14"/>
        <v>0</v>
      </c>
      <c r="T27" s="25">
        <f t="shared" si="14"/>
        <v>0</v>
      </c>
      <c r="U27" s="25">
        <f t="shared" si="14"/>
        <v>0</v>
      </c>
      <c r="V27" s="25">
        <v>0</v>
      </c>
      <c r="W27" s="25">
        <f t="shared" si="14"/>
        <v>0</v>
      </c>
      <c r="X27" s="25">
        <f t="shared" si="14"/>
        <v>0</v>
      </c>
      <c r="Y27" s="26">
        <f t="shared" si="3"/>
        <v>33</v>
      </c>
      <c r="Z27" s="27">
        <f t="shared" si="4"/>
        <v>29</v>
      </c>
      <c r="AA27" s="27">
        <f t="shared" si="5"/>
        <v>0</v>
      </c>
      <c r="AB27" s="26">
        <f t="shared" si="6"/>
        <v>62</v>
      </c>
      <c r="AC27" s="28">
        <f t="shared" si="7"/>
        <v>46.5</v>
      </c>
      <c r="AG27" s="66">
        <f t="shared" si="8"/>
        <v>1</v>
      </c>
      <c r="AH27" s="66">
        <f t="shared" si="8"/>
        <v>14.5</v>
      </c>
      <c r="AI27" s="66">
        <f t="shared" si="8"/>
        <v>31</v>
      </c>
      <c r="AJ27" s="66">
        <f t="shared" si="8"/>
        <v>0</v>
      </c>
      <c r="AK27" s="66">
        <f t="shared" si="8"/>
        <v>0</v>
      </c>
      <c r="AL27" s="66">
        <f t="shared" si="8"/>
        <v>0</v>
      </c>
      <c r="AM27" s="66">
        <f t="shared" si="8"/>
        <v>0</v>
      </c>
      <c r="AN27" s="66">
        <f t="shared" si="8"/>
        <v>0</v>
      </c>
      <c r="AO27" s="66">
        <f t="shared" si="8"/>
        <v>0</v>
      </c>
      <c r="AU27" s="48"/>
      <c r="AV27" s="48"/>
      <c r="AW27" s="48"/>
      <c r="AX27" s="48"/>
      <c r="AY27" s="48"/>
    </row>
    <row r="28" spans="1:51">
      <c r="A28" s="1">
        <f t="shared" si="10"/>
        <v>0.66666666666666685</v>
      </c>
      <c r="B28" s="1">
        <f t="shared" si="1"/>
        <v>0.68750000000000022</v>
      </c>
      <c r="C28" s="17"/>
      <c r="D28" s="17"/>
      <c r="E28" s="18"/>
      <c r="F28" s="18"/>
      <c r="G28" s="18"/>
      <c r="H28" s="18"/>
      <c r="I28" s="18"/>
      <c r="J28" s="18"/>
      <c r="K28" s="18"/>
      <c r="L28" s="18"/>
      <c r="O28" s="24">
        <v>13</v>
      </c>
      <c r="P28" s="24">
        <v>28</v>
      </c>
      <c r="Q28" s="24">
        <v>25</v>
      </c>
      <c r="R28" s="25">
        <f t="shared" si="14"/>
        <v>0</v>
      </c>
      <c r="S28" s="25">
        <f t="shared" si="14"/>
        <v>0</v>
      </c>
      <c r="T28" s="25">
        <f t="shared" si="14"/>
        <v>0</v>
      </c>
      <c r="U28" s="25">
        <f t="shared" si="14"/>
        <v>0</v>
      </c>
      <c r="V28" s="25">
        <v>1</v>
      </c>
      <c r="W28" s="25">
        <f t="shared" si="14"/>
        <v>0</v>
      </c>
      <c r="X28" s="25">
        <f t="shared" si="14"/>
        <v>0</v>
      </c>
      <c r="Y28" s="26">
        <f t="shared" si="3"/>
        <v>38</v>
      </c>
      <c r="Z28" s="27">
        <f t="shared" si="4"/>
        <v>28</v>
      </c>
      <c r="AA28" s="27">
        <f t="shared" si="5"/>
        <v>1</v>
      </c>
      <c r="AB28" s="26">
        <f t="shared" si="6"/>
        <v>67</v>
      </c>
      <c r="AC28" s="28">
        <f t="shared" si="7"/>
        <v>47</v>
      </c>
      <c r="AG28" s="66">
        <f t="shared" si="8"/>
        <v>6.5</v>
      </c>
      <c r="AH28" s="66">
        <f t="shared" si="8"/>
        <v>14</v>
      </c>
      <c r="AI28" s="66">
        <f t="shared" si="8"/>
        <v>25</v>
      </c>
      <c r="AJ28" s="66">
        <f t="shared" si="8"/>
        <v>0</v>
      </c>
      <c r="AK28" s="66">
        <f t="shared" si="8"/>
        <v>0</v>
      </c>
      <c r="AL28" s="66">
        <f t="shared" si="8"/>
        <v>0</v>
      </c>
      <c r="AM28" s="66">
        <f t="shared" si="8"/>
        <v>0</v>
      </c>
      <c r="AN28" s="66">
        <f t="shared" si="8"/>
        <v>1.5</v>
      </c>
      <c r="AO28" s="66">
        <f t="shared" si="8"/>
        <v>0</v>
      </c>
      <c r="AU28" s="48"/>
      <c r="AV28" s="48"/>
      <c r="AW28" s="48"/>
      <c r="AX28" s="48"/>
      <c r="AY28" s="48"/>
    </row>
    <row r="29" spans="1:51" ht="15.75" thickBot="1">
      <c r="A29" s="4">
        <f t="shared" si="10"/>
        <v>0.68750000000000022</v>
      </c>
      <c r="B29" s="4">
        <f t="shared" si="1"/>
        <v>0.70833333333333359</v>
      </c>
      <c r="C29" s="19"/>
      <c r="D29" s="19"/>
      <c r="E29" s="20"/>
      <c r="F29" s="20"/>
      <c r="G29" s="20"/>
      <c r="H29" s="20"/>
      <c r="I29" s="20"/>
      <c r="J29" s="20"/>
      <c r="K29" s="20"/>
      <c r="L29" s="20"/>
      <c r="O29" s="39">
        <v>8</v>
      </c>
      <c r="P29" s="39">
        <v>20</v>
      </c>
      <c r="Q29" s="39">
        <v>23</v>
      </c>
      <c r="R29" s="40">
        <f t="shared" si="14"/>
        <v>0</v>
      </c>
      <c r="S29" s="40">
        <f t="shared" si="14"/>
        <v>0</v>
      </c>
      <c r="T29" s="40">
        <f t="shared" si="14"/>
        <v>0</v>
      </c>
      <c r="U29" s="40">
        <f t="shared" si="14"/>
        <v>0</v>
      </c>
      <c r="V29" s="40">
        <f t="shared" si="14"/>
        <v>0</v>
      </c>
      <c r="W29" s="40">
        <v>1</v>
      </c>
      <c r="X29" s="40">
        <f t="shared" si="14"/>
        <v>0</v>
      </c>
      <c r="Y29" s="41">
        <f t="shared" si="3"/>
        <v>31</v>
      </c>
      <c r="Z29" s="42">
        <f t="shared" si="4"/>
        <v>20</v>
      </c>
      <c r="AA29" s="42">
        <f t="shared" si="5"/>
        <v>1</v>
      </c>
      <c r="AB29" s="41">
        <f t="shared" si="6"/>
        <v>52</v>
      </c>
      <c r="AC29" s="43">
        <f t="shared" si="7"/>
        <v>39.5</v>
      </c>
      <c r="AG29" s="66">
        <f t="shared" si="8"/>
        <v>4</v>
      </c>
      <c r="AH29" s="66">
        <f t="shared" si="8"/>
        <v>10</v>
      </c>
      <c r="AI29" s="66">
        <f t="shared" si="8"/>
        <v>23</v>
      </c>
      <c r="AJ29" s="66">
        <f t="shared" si="8"/>
        <v>0</v>
      </c>
      <c r="AK29" s="66">
        <f t="shared" si="8"/>
        <v>0</v>
      </c>
      <c r="AL29" s="66">
        <f t="shared" si="8"/>
        <v>0</v>
      </c>
      <c r="AM29" s="66">
        <f t="shared" si="8"/>
        <v>0</v>
      </c>
      <c r="AN29" s="66">
        <f t="shared" si="8"/>
        <v>0</v>
      </c>
      <c r="AO29" s="66">
        <f t="shared" si="8"/>
        <v>2.5</v>
      </c>
      <c r="AU29" s="48"/>
      <c r="AV29" s="48"/>
      <c r="AW29" s="48"/>
      <c r="AX29" s="48"/>
      <c r="AY29" s="48"/>
    </row>
    <row r="30" spans="1:51">
      <c r="A30" s="3">
        <f t="shared" si="10"/>
        <v>0.70833333333333359</v>
      </c>
      <c r="B30" s="3">
        <f t="shared" si="1"/>
        <v>0.72916666666666696</v>
      </c>
      <c r="C30" s="21"/>
      <c r="D30" s="21"/>
      <c r="E30" s="22"/>
      <c r="F30" s="22"/>
      <c r="G30" s="22"/>
      <c r="H30" s="22"/>
      <c r="I30" s="22"/>
      <c r="J30" s="22"/>
      <c r="K30" s="22"/>
      <c r="L30" s="22"/>
      <c r="O30" s="34">
        <v>14</v>
      </c>
      <c r="P30" s="34">
        <v>46</v>
      </c>
      <c r="Q30" s="34">
        <v>15</v>
      </c>
      <c r="R30" s="35">
        <f t="shared" si="14"/>
        <v>0</v>
      </c>
      <c r="S30" s="35">
        <f t="shared" si="14"/>
        <v>0</v>
      </c>
      <c r="T30" s="35">
        <f t="shared" si="14"/>
        <v>0</v>
      </c>
      <c r="U30" s="35">
        <f t="shared" si="14"/>
        <v>0</v>
      </c>
      <c r="V30" s="35">
        <f t="shared" si="14"/>
        <v>0</v>
      </c>
      <c r="W30" s="35">
        <v>0</v>
      </c>
      <c r="X30" s="35">
        <f t="shared" si="14"/>
        <v>0</v>
      </c>
      <c r="Y30" s="36">
        <f t="shared" si="3"/>
        <v>29</v>
      </c>
      <c r="Z30" s="37">
        <f t="shared" si="4"/>
        <v>46</v>
      </c>
      <c r="AA30" s="37">
        <f t="shared" si="5"/>
        <v>0</v>
      </c>
      <c r="AB30" s="36">
        <f t="shared" si="6"/>
        <v>75</v>
      </c>
      <c r="AC30" s="38">
        <f t="shared" si="7"/>
        <v>45</v>
      </c>
      <c r="AG30" s="66">
        <f t="shared" si="8"/>
        <v>7</v>
      </c>
      <c r="AH30" s="66">
        <f t="shared" si="8"/>
        <v>23</v>
      </c>
      <c r="AI30" s="66">
        <f t="shared" si="8"/>
        <v>15</v>
      </c>
      <c r="AJ30" s="66">
        <f t="shared" si="8"/>
        <v>0</v>
      </c>
      <c r="AK30" s="66">
        <f t="shared" si="8"/>
        <v>0</v>
      </c>
      <c r="AL30" s="66">
        <f t="shared" si="8"/>
        <v>0</v>
      </c>
      <c r="AM30" s="66">
        <f t="shared" si="8"/>
        <v>0</v>
      </c>
      <c r="AN30" s="66">
        <f t="shared" si="8"/>
        <v>0</v>
      </c>
      <c r="AO30" s="66">
        <f t="shared" si="8"/>
        <v>0</v>
      </c>
      <c r="AQ30" s="49">
        <f t="shared" ref="AQ30:AY30" si="16">SUM(O30:O33)</f>
        <v>29</v>
      </c>
      <c r="AR30" s="49">
        <f t="shared" si="16"/>
        <v>164</v>
      </c>
      <c r="AS30" s="49">
        <f t="shared" si="16"/>
        <v>51</v>
      </c>
      <c r="AT30" s="49">
        <f t="shared" si="16"/>
        <v>2</v>
      </c>
      <c r="AU30" s="49">
        <f t="shared" si="16"/>
        <v>0</v>
      </c>
      <c r="AV30" s="49">
        <f t="shared" si="16"/>
        <v>0</v>
      </c>
      <c r="AW30" s="49">
        <f t="shared" si="16"/>
        <v>1</v>
      </c>
      <c r="AX30" s="49">
        <f t="shared" si="16"/>
        <v>0</v>
      </c>
      <c r="AY30" s="49">
        <f t="shared" si="16"/>
        <v>0</v>
      </c>
    </row>
    <row r="31" spans="1:51">
      <c r="A31" s="1">
        <f t="shared" si="10"/>
        <v>0.72916666666666696</v>
      </c>
      <c r="B31" s="1">
        <f t="shared" si="1"/>
        <v>0.75000000000000033</v>
      </c>
      <c r="C31" s="17"/>
      <c r="D31" s="17"/>
      <c r="E31" s="18"/>
      <c r="F31" s="18"/>
      <c r="G31" s="18"/>
      <c r="H31" s="18"/>
      <c r="I31" s="18"/>
      <c r="J31" s="18"/>
      <c r="K31" s="18"/>
      <c r="L31" s="18"/>
      <c r="O31" s="24">
        <v>7</v>
      </c>
      <c r="P31" s="24">
        <v>40</v>
      </c>
      <c r="Q31" s="24">
        <v>14</v>
      </c>
      <c r="R31" s="25">
        <v>0</v>
      </c>
      <c r="S31" s="25">
        <f t="shared" si="14"/>
        <v>0</v>
      </c>
      <c r="T31" s="25">
        <f t="shared" si="14"/>
        <v>0</v>
      </c>
      <c r="U31" s="25">
        <v>0</v>
      </c>
      <c r="V31" s="25">
        <f t="shared" si="14"/>
        <v>0</v>
      </c>
      <c r="W31" s="25">
        <f t="shared" si="14"/>
        <v>0</v>
      </c>
      <c r="X31" s="25">
        <f t="shared" si="14"/>
        <v>0</v>
      </c>
      <c r="Y31" s="26">
        <f t="shared" si="3"/>
        <v>21</v>
      </c>
      <c r="Z31" s="27">
        <f t="shared" si="4"/>
        <v>40</v>
      </c>
      <c r="AA31" s="27">
        <f t="shared" si="5"/>
        <v>0</v>
      </c>
      <c r="AB31" s="26">
        <f t="shared" si="6"/>
        <v>61</v>
      </c>
      <c r="AC31" s="28">
        <f t="shared" si="7"/>
        <v>37.5</v>
      </c>
      <c r="AG31" s="66">
        <f t="shared" si="8"/>
        <v>3.5</v>
      </c>
      <c r="AH31" s="66">
        <f t="shared" si="8"/>
        <v>20</v>
      </c>
      <c r="AI31" s="66">
        <f t="shared" si="8"/>
        <v>14</v>
      </c>
      <c r="AJ31" s="66">
        <f t="shared" si="8"/>
        <v>0</v>
      </c>
      <c r="AK31" s="66">
        <f t="shared" si="8"/>
        <v>0</v>
      </c>
      <c r="AL31" s="66">
        <f t="shared" si="8"/>
        <v>0</v>
      </c>
      <c r="AM31" s="66">
        <f t="shared" si="8"/>
        <v>0</v>
      </c>
      <c r="AN31" s="66">
        <f t="shared" si="8"/>
        <v>0</v>
      </c>
      <c r="AO31" s="66">
        <f t="shared" si="8"/>
        <v>0</v>
      </c>
      <c r="AU31" s="48"/>
      <c r="AV31" s="48"/>
      <c r="AW31" s="48"/>
      <c r="AX31" s="48"/>
      <c r="AY31" s="48"/>
    </row>
    <row r="32" spans="1:51">
      <c r="A32" s="1">
        <f t="shared" si="10"/>
        <v>0.75000000000000033</v>
      </c>
      <c r="B32" s="1">
        <f t="shared" si="1"/>
        <v>0.7708333333333337</v>
      </c>
      <c r="C32" s="17"/>
      <c r="D32" s="17"/>
      <c r="E32" s="18"/>
      <c r="F32" s="18"/>
      <c r="G32" s="18"/>
      <c r="H32" s="18"/>
      <c r="I32" s="18"/>
      <c r="J32" s="18"/>
      <c r="K32" s="18"/>
      <c r="L32" s="18"/>
      <c r="O32" s="24">
        <v>6</v>
      </c>
      <c r="P32" s="24">
        <v>38</v>
      </c>
      <c r="Q32" s="24">
        <v>13</v>
      </c>
      <c r="R32" s="25">
        <v>2</v>
      </c>
      <c r="S32" s="25">
        <f t="shared" si="14"/>
        <v>0</v>
      </c>
      <c r="T32" s="25">
        <f t="shared" si="14"/>
        <v>0</v>
      </c>
      <c r="U32" s="25">
        <v>0</v>
      </c>
      <c r="V32" s="25">
        <f t="shared" si="14"/>
        <v>0</v>
      </c>
      <c r="W32" s="25">
        <f t="shared" si="14"/>
        <v>0</v>
      </c>
      <c r="X32" s="25">
        <f t="shared" si="14"/>
        <v>0</v>
      </c>
      <c r="Y32" s="26">
        <f t="shared" si="3"/>
        <v>21</v>
      </c>
      <c r="Z32" s="27">
        <f t="shared" si="4"/>
        <v>38</v>
      </c>
      <c r="AA32" s="27">
        <f t="shared" si="5"/>
        <v>0</v>
      </c>
      <c r="AB32" s="26">
        <f t="shared" si="6"/>
        <v>59</v>
      </c>
      <c r="AC32" s="28">
        <f t="shared" si="7"/>
        <v>37</v>
      </c>
      <c r="AG32" s="66">
        <f t="shared" si="8"/>
        <v>3</v>
      </c>
      <c r="AH32" s="66">
        <f t="shared" si="8"/>
        <v>19</v>
      </c>
      <c r="AI32" s="66">
        <f t="shared" si="8"/>
        <v>13</v>
      </c>
      <c r="AJ32" s="66">
        <f t="shared" si="8"/>
        <v>2</v>
      </c>
      <c r="AK32" s="66">
        <f t="shared" si="8"/>
        <v>0</v>
      </c>
      <c r="AL32" s="66">
        <f t="shared" si="8"/>
        <v>0</v>
      </c>
      <c r="AM32" s="66">
        <f t="shared" si="8"/>
        <v>0</v>
      </c>
      <c r="AN32" s="66">
        <f t="shared" si="8"/>
        <v>0</v>
      </c>
      <c r="AO32" s="66">
        <f t="shared" si="8"/>
        <v>0</v>
      </c>
      <c r="AU32" s="48"/>
      <c r="AV32" s="48"/>
      <c r="AW32" s="48"/>
      <c r="AX32" s="48"/>
      <c r="AY32" s="48"/>
    </row>
    <row r="33" spans="1:51">
      <c r="A33" s="2">
        <f t="shared" si="10"/>
        <v>0.7708333333333337</v>
      </c>
      <c r="B33" s="2">
        <f t="shared" si="1"/>
        <v>0.79166666666666707</v>
      </c>
      <c r="C33" s="19"/>
      <c r="D33" s="19"/>
      <c r="E33" s="20"/>
      <c r="F33" s="20"/>
      <c r="G33" s="20"/>
      <c r="H33" s="20"/>
      <c r="I33" s="20"/>
      <c r="J33" s="20"/>
      <c r="K33" s="20"/>
      <c r="L33" s="20"/>
      <c r="O33" s="29">
        <v>2</v>
      </c>
      <c r="P33" s="29">
        <v>40</v>
      </c>
      <c r="Q33" s="29">
        <v>9</v>
      </c>
      <c r="R33" s="30">
        <f t="shared" si="14"/>
        <v>0</v>
      </c>
      <c r="S33" s="30">
        <f t="shared" si="14"/>
        <v>0</v>
      </c>
      <c r="T33" s="30">
        <f t="shared" si="14"/>
        <v>0</v>
      </c>
      <c r="U33" s="30">
        <v>1</v>
      </c>
      <c r="V33" s="30">
        <f t="shared" si="14"/>
        <v>0</v>
      </c>
      <c r="W33" s="30">
        <f t="shared" si="14"/>
        <v>0</v>
      </c>
      <c r="X33" s="30">
        <f t="shared" si="14"/>
        <v>0</v>
      </c>
      <c r="Y33" s="31">
        <f t="shared" si="3"/>
        <v>11</v>
      </c>
      <c r="Z33" s="32">
        <f t="shared" si="4"/>
        <v>41</v>
      </c>
      <c r="AA33" s="32">
        <f t="shared" si="5"/>
        <v>0</v>
      </c>
      <c r="AB33" s="31">
        <f t="shared" si="6"/>
        <v>52</v>
      </c>
      <c r="AC33" s="33">
        <f t="shared" si="7"/>
        <v>32</v>
      </c>
      <c r="AG33" s="66">
        <f t="shared" si="8"/>
        <v>1</v>
      </c>
      <c r="AH33" s="66">
        <f t="shared" si="8"/>
        <v>20</v>
      </c>
      <c r="AI33" s="66">
        <f t="shared" si="8"/>
        <v>9</v>
      </c>
      <c r="AJ33" s="66">
        <f t="shared" si="8"/>
        <v>0</v>
      </c>
      <c r="AK33" s="66">
        <f t="shared" si="8"/>
        <v>0</v>
      </c>
      <c r="AL33" s="66">
        <f t="shared" si="8"/>
        <v>0</v>
      </c>
      <c r="AM33" s="66">
        <f t="shared" si="8"/>
        <v>2</v>
      </c>
      <c r="AN33" s="66">
        <f t="shared" si="8"/>
        <v>0</v>
      </c>
      <c r="AO33" s="66">
        <f t="shared" si="8"/>
        <v>0</v>
      </c>
      <c r="AU33" s="48"/>
      <c r="AV33" s="48"/>
      <c r="AW33" s="48"/>
      <c r="AX33" s="48"/>
      <c r="AY33" s="48"/>
    </row>
    <row r="34" spans="1:51">
      <c r="A34" s="3">
        <f t="shared" si="10"/>
        <v>0.79166666666666707</v>
      </c>
      <c r="B34" s="3">
        <f t="shared" si="1"/>
        <v>0.81250000000000044</v>
      </c>
      <c r="C34" s="21"/>
      <c r="D34" s="21"/>
      <c r="E34" s="22"/>
      <c r="F34" s="22"/>
      <c r="G34" s="22"/>
      <c r="H34" s="22"/>
      <c r="I34" s="22"/>
      <c r="J34" s="22"/>
      <c r="K34" s="22"/>
      <c r="L34" s="22"/>
      <c r="O34" s="34">
        <v>4</v>
      </c>
      <c r="P34" s="34">
        <v>31</v>
      </c>
      <c r="Q34" s="34">
        <v>9</v>
      </c>
      <c r="R34" s="35">
        <f t="shared" si="14"/>
        <v>0</v>
      </c>
      <c r="S34" s="35">
        <f t="shared" si="14"/>
        <v>0</v>
      </c>
      <c r="T34" s="35">
        <f t="shared" si="14"/>
        <v>0</v>
      </c>
      <c r="U34" s="35">
        <f t="shared" si="14"/>
        <v>0</v>
      </c>
      <c r="V34" s="35">
        <f t="shared" si="14"/>
        <v>0</v>
      </c>
      <c r="W34" s="35">
        <f t="shared" si="14"/>
        <v>0</v>
      </c>
      <c r="X34" s="35">
        <f t="shared" si="14"/>
        <v>0</v>
      </c>
      <c r="Y34" s="36">
        <f t="shared" si="3"/>
        <v>13</v>
      </c>
      <c r="Z34" s="37">
        <f t="shared" si="4"/>
        <v>31</v>
      </c>
      <c r="AA34" s="37">
        <f t="shared" si="5"/>
        <v>0</v>
      </c>
      <c r="AB34" s="36">
        <f t="shared" si="6"/>
        <v>44</v>
      </c>
      <c r="AC34" s="38">
        <f t="shared" si="7"/>
        <v>26.5</v>
      </c>
      <c r="AG34" s="66">
        <f t="shared" si="8"/>
        <v>2</v>
      </c>
      <c r="AH34" s="66">
        <f t="shared" si="8"/>
        <v>15.5</v>
      </c>
      <c r="AI34" s="66">
        <f t="shared" si="8"/>
        <v>9</v>
      </c>
      <c r="AJ34" s="66">
        <f t="shared" si="8"/>
        <v>0</v>
      </c>
      <c r="AK34" s="66">
        <f t="shared" si="8"/>
        <v>0</v>
      </c>
      <c r="AL34" s="66">
        <f t="shared" si="8"/>
        <v>0</v>
      </c>
      <c r="AM34" s="66">
        <f t="shared" si="8"/>
        <v>0</v>
      </c>
      <c r="AN34" s="66">
        <f t="shared" si="8"/>
        <v>0</v>
      </c>
      <c r="AO34" s="66">
        <f t="shared" si="8"/>
        <v>0</v>
      </c>
      <c r="AQ34" s="49">
        <f t="shared" ref="AQ34:AY34" si="17">SUM(O34:O37)</f>
        <v>11</v>
      </c>
      <c r="AR34" s="49">
        <f t="shared" si="17"/>
        <v>69</v>
      </c>
      <c r="AS34" s="49">
        <f t="shared" si="17"/>
        <v>21</v>
      </c>
      <c r="AT34" s="49">
        <f t="shared" si="17"/>
        <v>0</v>
      </c>
      <c r="AU34" s="49">
        <f t="shared" si="17"/>
        <v>0</v>
      </c>
      <c r="AV34" s="49">
        <f t="shared" si="17"/>
        <v>0</v>
      </c>
      <c r="AW34" s="49">
        <f t="shared" si="17"/>
        <v>3</v>
      </c>
      <c r="AX34" s="49">
        <f t="shared" si="17"/>
        <v>1</v>
      </c>
      <c r="AY34" s="49">
        <f t="shared" si="17"/>
        <v>0</v>
      </c>
    </row>
    <row r="35" spans="1:51">
      <c r="A35" s="1">
        <f t="shared" si="10"/>
        <v>0.81250000000000044</v>
      </c>
      <c r="B35" s="1">
        <f t="shared" si="1"/>
        <v>0.83333333333333381</v>
      </c>
      <c r="C35" s="17"/>
      <c r="D35" s="17"/>
      <c r="E35" s="18"/>
      <c r="F35" s="18"/>
      <c r="G35" s="18"/>
      <c r="H35" s="18"/>
      <c r="I35" s="18"/>
      <c r="J35" s="18"/>
      <c r="K35" s="18"/>
      <c r="L35" s="18"/>
      <c r="O35" s="24">
        <v>6</v>
      </c>
      <c r="P35" s="24">
        <v>12</v>
      </c>
      <c r="Q35" s="24">
        <v>8</v>
      </c>
      <c r="R35" s="25">
        <f t="shared" si="14"/>
        <v>0</v>
      </c>
      <c r="S35" s="25">
        <f t="shared" si="14"/>
        <v>0</v>
      </c>
      <c r="T35" s="25">
        <f t="shared" si="14"/>
        <v>0</v>
      </c>
      <c r="U35" s="25">
        <f t="shared" si="14"/>
        <v>0</v>
      </c>
      <c r="V35" s="25">
        <f t="shared" si="14"/>
        <v>0</v>
      </c>
      <c r="W35" s="25">
        <f t="shared" si="14"/>
        <v>0</v>
      </c>
      <c r="X35" s="25">
        <f t="shared" si="14"/>
        <v>0</v>
      </c>
      <c r="Y35" s="26">
        <f t="shared" si="3"/>
        <v>14</v>
      </c>
      <c r="Z35" s="27">
        <f t="shared" si="4"/>
        <v>12</v>
      </c>
      <c r="AA35" s="27">
        <f t="shared" si="5"/>
        <v>0</v>
      </c>
      <c r="AB35" s="26">
        <f t="shared" si="6"/>
        <v>26</v>
      </c>
      <c r="AC35" s="28">
        <f t="shared" si="7"/>
        <v>17</v>
      </c>
      <c r="AG35" s="66">
        <f t="shared" si="8"/>
        <v>3</v>
      </c>
      <c r="AH35" s="66">
        <f t="shared" si="8"/>
        <v>6</v>
      </c>
      <c r="AI35" s="66">
        <f t="shared" si="8"/>
        <v>8</v>
      </c>
      <c r="AJ35" s="66">
        <f t="shared" si="8"/>
        <v>0</v>
      </c>
      <c r="AK35" s="66">
        <f t="shared" si="8"/>
        <v>0</v>
      </c>
      <c r="AL35" s="66">
        <f t="shared" si="8"/>
        <v>0</v>
      </c>
      <c r="AM35" s="66">
        <f t="shared" si="8"/>
        <v>0</v>
      </c>
      <c r="AN35" s="66">
        <f t="shared" si="8"/>
        <v>0</v>
      </c>
      <c r="AO35" s="66">
        <f t="shared" si="8"/>
        <v>0</v>
      </c>
      <c r="AU35" s="48"/>
      <c r="AV35" s="48"/>
      <c r="AW35" s="48"/>
      <c r="AX35" s="48"/>
      <c r="AY35" s="48"/>
    </row>
    <row r="36" spans="1:51">
      <c r="A36" s="1">
        <f t="shared" si="10"/>
        <v>0.83333333333333381</v>
      </c>
      <c r="B36" s="1">
        <f t="shared" si="1"/>
        <v>0.85416666666666718</v>
      </c>
      <c r="C36" s="17"/>
      <c r="D36" s="17"/>
      <c r="E36" s="18"/>
      <c r="F36" s="18"/>
      <c r="G36" s="18"/>
      <c r="H36" s="18"/>
      <c r="I36" s="18"/>
      <c r="J36" s="18"/>
      <c r="K36" s="18"/>
      <c r="L36" s="18"/>
      <c r="O36" s="24">
        <v>1</v>
      </c>
      <c r="P36" s="24">
        <v>15</v>
      </c>
      <c r="Q36" s="24">
        <v>4</v>
      </c>
      <c r="R36" s="25">
        <f t="shared" si="14"/>
        <v>0</v>
      </c>
      <c r="S36" s="25">
        <f t="shared" si="14"/>
        <v>0</v>
      </c>
      <c r="T36" s="25">
        <f t="shared" si="14"/>
        <v>0</v>
      </c>
      <c r="U36" s="25">
        <f t="shared" si="14"/>
        <v>0</v>
      </c>
      <c r="V36" s="25">
        <f t="shared" si="14"/>
        <v>0</v>
      </c>
      <c r="W36" s="25">
        <f t="shared" si="14"/>
        <v>0</v>
      </c>
      <c r="X36" s="25">
        <f t="shared" si="14"/>
        <v>0</v>
      </c>
      <c r="Y36" s="26">
        <f t="shared" si="3"/>
        <v>5</v>
      </c>
      <c r="Z36" s="27">
        <f t="shared" si="4"/>
        <v>15</v>
      </c>
      <c r="AA36" s="27">
        <f t="shared" si="5"/>
        <v>0</v>
      </c>
      <c r="AB36" s="26">
        <f t="shared" si="6"/>
        <v>20</v>
      </c>
      <c r="AC36" s="28">
        <f t="shared" si="7"/>
        <v>12</v>
      </c>
      <c r="AG36" s="66">
        <f t="shared" si="8"/>
        <v>0.5</v>
      </c>
      <c r="AH36" s="66">
        <f t="shared" si="8"/>
        <v>7.5</v>
      </c>
      <c r="AI36" s="66">
        <f t="shared" si="8"/>
        <v>4</v>
      </c>
      <c r="AJ36" s="66">
        <f t="shared" si="8"/>
        <v>0</v>
      </c>
      <c r="AK36" s="66">
        <f t="shared" si="8"/>
        <v>0</v>
      </c>
      <c r="AL36" s="66">
        <f t="shared" si="8"/>
        <v>0</v>
      </c>
      <c r="AM36" s="66">
        <f t="shared" si="8"/>
        <v>0</v>
      </c>
      <c r="AN36" s="66">
        <f t="shared" si="8"/>
        <v>0</v>
      </c>
      <c r="AO36" s="66">
        <f t="shared" si="8"/>
        <v>0</v>
      </c>
      <c r="AU36" s="48"/>
      <c r="AV36" s="48"/>
      <c r="AW36" s="48"/>
      <c r="AX36" s="48"/>
      <c r="AY36" s="48"/>
    </row>
    <row r="37" spans="1:51">
      <c r="A37" s="2">
        <f t="shared" si="10"/>
        <v>0.85416666666666718</v>
      </c>
      <c r="B37" s="2">
        <f t="shared" si="1"/>
        <v>0.87500000000000056</v>
      </c>
      <c r="C37" s="19"/>
      <c r="D37" s="19"/>
      <c r="E37" s="20"/>
      <c r="F37" s="20"/>
      <c r="G37" s="20"/>
      <c r="H37" s="20"/>
      <c r="I37" s="20"/>
      <c r="J37" s="20"/>
      <c r="K37" s="20"/>
      <c r="L37" s="20"/>
      <c r="O37" s="29">
        <v>0</v>
      </c>
      <c r="P37" s="29">
        <v>11</v>
      </c>
      <c r="Q37" s="29">
        <v>0</v>
      </c>
      <c r="R37" s="30">
        <f t="shared" si="14"/>
        <v>0</v>
      </c>
      <c r="S37" s="30">
        <f t="shared" si="14"/>
        <v>0</v>
      </c>
      <c r="T37" s="30">
        <f t="shared" si="14"/>
        <v>0</v>
      </c>
      <c r="U37" s="30">
        <v>3</v>
      </c>
      <c r="V37" s="30">
        <v>1</v>
      </c>
      <c r="W37" s="30">
        <f t="shared" si="14"/>
        <v>0</v>
      </c>
      <c r="X37" s="30">
        <f t="shared" si="14"/>
        <v>0</v>
      </c>
      <c r="Y37" s="31">
        <f t="shared" si="3"/>
        <v>0</v>
      </c>
      <c r="Z37" s="32">
        <f t="shared" si="4"/>
        <v>14</v>
      </c>
      <c r="AA37" s="32">
        <f t="shared" si="5"/>
        <v>1</v>
      </c>
      <c r="AB37" s="31">
        <f t="shared" si="6"/>
        <v>15</v>
      </c>
      <c r="AC37" s="33">
        <f t="shared" si="7"/>
        <v>13</v>
      </c>
      <c r="AG37" s="66">
        <f t="shared" si="8"/>
        <v>0</v>
      </c>
      <c r="AH37" s="66">
        <f t="shared" si="8"/>
        <v>5.5</v>
      </c>
      <c r="AI37" s="66">
        <f t="shared" si="8"/>
        <v>0</v>
      </c>
      <c r="AJ37" s="66">
        <f t="shared" si="8"/>
        <v>0</v>
      </c>
      <c r="AK37" s="66">
        <f t="shared" si="8"/>
        <v>0</v>
      </c>
      <c r="AL37" s="66">
        <f t="shared" si="8"/>
        <v>0</v>
      </c>
      <c r="AM37" s="66">
        <f t="shared" si="8"/>
        <v>6</v>
      </c>
      <c r="AN37" s="66">
        <f t="shared" si="8"/>
        <v>1.5</v>
      </c>
      <c r="AO37" s="66">
        <f t="shared" si="8"/>
        <v>0</v>
      </c>
      <c r="AU37" s="48"/>
      <c r="AV37" s="48"/>
      <c r="AW37" s="48"/>
      <c r="AX37" s="48"/>
      <c r="AY37" s="48"/>
    </row>
    <row r="38" spans="1:51">
      <c r="A38" s="3">
        <f t="shared" si="10"/>
        <v>0.87500000000000056</v>
      </c>
      <c r="B38" s="3">
        <f t="shared" si="1"/>
        <v>0.89583333333333393</v>
      </c>
      <c r="C38" s="21"/>
      <c r="D38" s="21"/>
      <c r="E38" s="22"/>
      <c r="F38" s="22"/>
      <c r="G38" s="22"/>
      <c r="H38" s="22"/>
      <c r="I38" s="22"/>
      <c r="J38" s="22"/>
      <c r="K38" s="22"/>
      <c r="L38" s="22"/>
      <c r="O38" s="34">
        <f t="shared" si="14"/>
        <v>0</v>
      </c>
      <c r="P38" s="34">
        <f t="shared" si="14"/>
        <v>0</v>
      </c>
      <c r="Q38" s="34">
        <f t="shared" si="14"/>
        <v>0</v>
      </c>
      <c r="R38" s="35">
        <f t="shared" si="14"/>
        <v>0</v>
      </c>
      <c r="S38" s="35">
        <f t="shared" si="14"/>
        <v>0</v>
      </c>
      <c r="T38" s="35">
        <f t="shared" si="14"/>
        <v>0</v>
      </c>
      <c r="U38" s="35">
        <f t="shared" si="14"/>
        <v>0</v>
      </c>
      <c r="V38" s="35">
        <f t="shared" si="14"/>
        <v>0</v>
      </c>
      <c r="W38" s="35">
        <f t="shared" si="14"/>
        <v>0</v>
      </c>
      <c r="X38" s="35">
        <f t="shared" si="14"/>
        <v>0</v>
      </c>
      <c r="Y38" s="36">
        <f t="shared" si="3"/>
        <v>0</v>
      </c>
      <c r="Z38" s="37">
        <f t="shared" si="4"/>
        <v>0</v>
      </c>
      <c r="AA38" s="37">
        <f t="shared" si="5"/>
        <v>0</v>
      </c>
      <c r="AB38" s="36">
        <f t="shared" si="6"/>
        <v>0</v>
      </c>
      <c r="AC38" s="38">
        <f t="shared" si="7"/>
        <v>0</v>
      </c>
      <c r="AG38" s="66">
        <f t="shared" ref="AG38:AO65" si="18">O38*O$8</f>
        <v>0</v>
      </c>
      <c r="AH38" s="66">
        <f t="shared" si="18"/>
        <v>0</v>
      </c>
      <c r="AI38" s="66">
        <f t="shared" si="18"/>
        <v>0</v>
      </c>
      <c r="AJ38" s="66">
        <f t="shared" si="18"/>
        <v>0</v>
      </c>
      <c r="AK38" s="66">
        <f t="shared" si="18"/>
        <v>0</v>
      </c>
      <c r="AL38" s="66">
        <f t="shared" si="18"/>
        <v>0</v>
      </c>
      <c r="AM38" s="66">
        <f t="shared" si="18"/>
        <v>0</v>
      </c>
      <c r="AN38" s="66">
        <f t="shared" si="18"/>
        <v>0</v>
      </c>
      <c r="AO38" s="66">
        <f t="shared" si="18"/>
        <v>0</v>
      </c>
      <c r="AQ38" s="49">
        <f t="shared" ref="AQ38:AY38" si="19">SUM(O38:O41)</f>
        <v>0</v>
      </c>
      <c r="AR38" s="49">
        <f t="shared" si="19"/>
        <v>0</v>
      </c>
      <c r="AS38" s="49">
        <f t="shared" si="19"/>
        <v>0</v>
      </c>
      <c r="AT38" s="49">
        <f t="shared" si="19"/>
        <v>0</v>
      </c>
      <c r="AU38" s="49">
        <f t="shared" si="19"/>
        <v>0</v>
      </c>
      <c r="AV38" s="49">
        <f t="shared" si="19"/>
        <v>0</v>
      </c>
      <c r="AW38" s="49">
        <f t="shared" si="19"/>
        <v>0</v>
      </c>
      <c r="AX38" s="49">
        <f t="shared" si="19"/>
        <v>0</v>
      </c>
      <c r="AY38" s="49">
        <f t="shared" si="19"/>
        <v>0</v>
      </c>
    </row>
    <row r="39" spans="1:51">
      <c r="A39" s="1">
        <f t="shared" si="10"/>
        <v>0.89583333333333393</v>
      </c>
      <c r="B39" s="1">
        <f t="shared" si="1"/>
        <v>0.9166666666666673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O39" s="24">
        <f t="shared" si="14"/>
        <v>0</v>
      </c>
      <c r="P39" s="24">
        <f t="shared" si="14"/>
        <v>0</v>
      </c>
      <c r="Q39" s="24">
        <f t="shared" si="14"/>
        <v>0</v>
      </c>
      <c r="R39" s="25">
        <f t="shared" si="14"/>
        <v>0</v>
      </c>
      <c r="S39" s="25">
        <f t="shared" si="14"/>
        <v>0</v>
      </c>
      <c r="T39" s="25">
        <f t="shared" si="14"/>
        <v>0</v>
      </c>
      <c r="U39" s="25">
        <f t="shared" si="14"/>
        <v>0</v>
      </c>
      <c r="V39" s="25">
        <f t="shared" si="14"/>
        <v>0</v>
      </c>
      <c r="W39" s="25">
        <f t="shared" si="14"/>
        <v>0</v>
      </c>
      <c r="X39" s="25">
        <f t="shared" si="14"/>
        <v>0</v>
      </c>
      <c r="Y39" s="26">
        <f t="shared" si="3"/>
        <v>0</v>
      </c>
      <c r="Z39" s="27">
        <f t="shared" si="4"/>
        <v>0</v>
      </c>
      <c r="AA39" s="27">
        <f t="shared" si="5"/>
        <v>0</v>
      </c>
      <c r="AB39" s="26">
        <f t="shared" si="6"/>
        <v>0</v>
      </c>
      <c r="AC39" s="28">
        <f t="shared" si="7"/>
        <v>0</v>
      </c>
      <c r="AG39" s="66">
        <f t="shared" si="18"/>
        <v>0</v>
      </c>
      <c r="AH39" s="66">
        <f t="shared" si="18"/>
        <v>0</v>
      </c>
      <c r="AI39" s="66">
        <f t="shared" si="18"/>
        <v>0</v>
      </c>
      <c r="AJ39" s="66">
        <f t="shared" si="18"/>
        <v>0</v>
      </c>
      <c r="AK39" s="66">
        <f t="shared" si="18"/>
        <v>0</v>
      </c>
      <c r="AL39" s="66">
        <f t="shared" si="18"/>
        <v>0</v>
      </c>
      <c r="AM39" s="66">
        <f t="shared" si="18"/>
        <v>0</v>
      </c>
      <c r="AN39" s="66">
        <f t="shared" si="18"/>
        <v>0</v>
      </c>
      <c r="AO39" s="66">
        <f t="shared" si="18"/>
        <v>0</v>
      </c>
      <c r="AU39" s="48"/>
      <c r="AV39" s="48"/>
      <c r="AW39" s="48"/>
      <c r="AX39" s="48"/>
      <c r="AY39" s="48"/>
    </row>
    <row r="40" spans="1:51">
      <c r="A40" s="1">
        <f t="shared" si="10"/>
        <v>0.9166666666666673</v>
      </c>
      <c r="B40" s="1">
        <f t="shared" si="1"/>
        <v>0.93750000000000067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O40" s="24">
        <f t="shared" si="14"/>
        <v>0</v>
      </c>
      <c r="P40" s="24">
        <f t="shared" si="14"/>
        <v>0</v>
      </c>
      <c r="Q40" s="24">
        <f t="shared" si="14"/>
        <v>0</v>
      </c>
      <c r="R40" s="25">
        <f t="shared" si="14"/>
        <v>0</v>
      </c>
      <c r="S40" s="25">
        <f t="shared" si="14"/>
        <v>0</v>
      </c>
      <c r="T40" s="25">
        <f t="shared" si="14"/>
        <v>0</v>
      </c>
      <c r="U40" s="25">
        <f t="shared" si="14"/>
        <v>0</v>
      </c>
      <c r="V40" s="25">
        <f t="shared" si="14"/>
        <v>0</v>
      </c>
      <c r="W40" s="25">
        <f t="shared" si="14"/>
        <v>0</v>
      </c>
      <c r="X40" s="25">
        <f t="shared" si="14"/>
        <v>0</v>
      </c>
      <c r="Y40" s="26">
        <f t="shared" si="3"/>
        <v>0</v>
      </c>
      <c r="Z40" s="27">
        <f t="shared" si="4"/>
        <v>0</v>
      </c>
      <c r="AA40" s="27">
        <f t="shared" si="5"/>
        <v>0</v>
      </c>
      <c r="AB40" s="26">
        <f t="shared" si="6"/>
        <v>0</v>
      </c>
      <c r="AC40" s="28">
        <f t="shared" si="7"/>
        <v>0</v>
      </c>
      <c r="AG40" s="66">
        <f t="shared" si="18"/>
        <v>0</v>
      </c>
      <c r="AH40" s="66">
        <f t="shared" si="18"/>
        <v>0</v>
      </c>
      <c r="AI40" s="66">
        <f t="shared" si="18"/>
        <v>0</v>
      </c>
      <c r="AJ40" s="66">
        <f t="shared" si="18"/>
        <v>0</v>
      </c>
      <c r="AK40" s="66">
        <f t="shared" si="18"/>
        <v>0</v>
      </c>
      <c r="AL40" s="66">
        <f t="shared" si="18"/>
        <v>0</v>
      </c>
      <c r="AM40" s="66">
        <f t="shared" si="18"/>
        <v>0</v>
      </c>
      <c r="AN40" s="66">
        <f t="shared" si="18"/>
        <v>0</v>
      </c>
      <c r="AO40" s="66">
        <f t="shared" si="18"/>
        <v>0</v>
      </c>
      <c r="AU40" s="48"/>
      <c r="AV40" s="48"/>
      <c r="AW40" s="48"/>
      <c r="AX40" s="48"/>
      <c r="AY40" s="48"/>
    </row>
    <row r="41" spans="1:51" ht="15.75" thickBot="1">
      <c r="A41" s="4">
        <f t="shared" si="10"/>
        <v>0.93750000000000067</v>
      </c>
      <c r="B41" s="4">
        <f t="shared" si="1"/>
        <v>0.95833333333333404</v>
      </c>
      <c r="C41" s="19"/>
      <c r="D41" s="19"/>
      <c r="E41" s="20"/>
      <c r="F41" s="20"/>
      <c r="G41" s="20"/>
      <c r="H41" s="20"/>
      <c r="I41" s="20"/>
      <c r="J41" s="20"/>
      <c r="K41" s="20"/>
      <c r="L41" s="20"/>
      <c r="O41" s="39">
        <f t="shared" si="14"/>
        <v>0</v>
      </c>
      <c r="P41" s="39">
        <f t="shared" si="14"/>
        <v>0</v>
      </c>
      <c r="Q41" s="39">
        <f t="shared" si="14"/>
        <v>0</v>
      </c>
      <c r="R41" s="40">
        <f t="shared" si="14"/>
        <v>0</v>
      </c>
      <c r="S41" s="40">
        <f t="shared" si="14"/>
        <v>0</v>
      </c>
      <c r="T41" s="40">
        <f t="shared" si="14"/>
        <v>0</v>
      </c>
      <c r="U41" s="40">
        <f t="shared" si="14"/>
        <v>0</v>
      </c>
      <c r="V41" s="40">
        <f t="shared" si="14"/>
        <v>0</v>
      </c>
      <c r="W41" s="40">
        <f t="shared" si="14"/>
        <v>0</v>
      </c>
      <c r="X41" s="40">
        <f t="shared" si="14"/>
        <v>0</v>
      </c>
      <c r="Y41" s="41">
        <f t="shared" si="3"/>
        <v>0</v>
      </c>
      <c r="Z41" s="42">
        <f t="shared" si="4"/>
        <v>0</v>
      </c>
      <c r="AA41" s="42">
        <f t="shared" si="5"/>
        <v>0</v>
      </c>
      <c r="AB41" s="41">
        <f t="shared" si="6"/>
        <v>0</v>
      </c>
      <c r="AC41" s="43">
        <f t="shared" si="7"/>
        <v>0</v>
      </c>
      <c r="AG41" s="66">
        <f t="shared" si="18"/>
        <v>0</v>
      </c>
      <c r="AH41" s="66">
        <f t="shared" si="18"/>
        <v>0</v>
      </c>
      <c r="AI41" s="66">
        <f t="shared" si="18"/>
        <v>0</v>
      </c>
      <c r="AJ41" s="66">
        <f t="shared" si="18"/>
        <v>0</v>
      </c>
      <c r="AK41" s="66">
        <f t="shared" si="18"/>
        <v>0</v>
      </c>
      <c r="AL41" s="66">
        <f t="shared" si="18"/>
        <v>0</v>
      </c>
      <c r="AM41" s="66">
        <f t="shared" si="18"/>
        <v>0</v>
      </c>
      <c r="AN41" s="66">
        <f t="shared" si="18"/>
        <v>0</v>
      </c>
      <c r="AO41" s="66">
        <f t="shared" si="18"/>
        <v>0</v>
      </c>
      <c r="AU41" s="48"/>
      <c r="AV41" s="48"/>
      <c r="AW41" s="48"/>
      <c r="AX41" s="48"/>
      <c r="AY41" s="48"/>
    </row>
    <row r="42" spans="1:51">
      <c r="A42" s="3">
        <f t="shared" si="10"/>
        <v>0.95833333333333404</v>
      </c>
      <c r="B42" s="3">
        <f t="shared" si="1"/>
        <v>0.97916666666666741</v>
      </c>
      <c r="C42" s="21"/>
      <c r="D42" s="21"/>
      <c r="E42" s="22"/>
      <c r="F42" s="22"/>
      <c r="G42" s="22"/>
      <c r="H42" s="22"/>
      <c r="I42" s="22"/>
      <c r="J42" s="22"/>
      <c r="K42" s="22"/>
      <c r="L42" s="22"/>
      <c r="O42" s="34">
        <f t="shared" si="14"/>
        <v>0</v>
      </c>
      <c r="P42" s="34">
        <f t="shared" si="14"/>
        <v>0</v>
      </c>
      <c r="Q42" s="34">
        <f t="shared" si="14"/>
        <v>0</v>
      </c>
      <c r="R42" s="35">
        <f t="shared" si="14"/>
        <v>0</v>
      </c>
      <c r="S42" s="35">
        <f t="shared" si="14"/>
        <v>0</v>
      </c>
      <c r="T42" s="35">
        <f t="shared" si="14"/>
        <v>0</v>
      </c>
      <c r="U42" s="35">
        <f t="shared" si="14"/>
        <v>0</v>
      </c>
      <c r="V42" s="35">
        <f t="shared" si="14"/>
        <v>0</v>
      </c>
      <c r="W42" s="35">
        <f t="shared" si="14"/>
        <v>0</v>
      </c>
      <c r="X42" s="35">
        <f t="shared" si="14"/>
        <v>0</v>
      </c>
      <c r="Y42" s="36">
        <f t="shared" si="3"/>
        <v>0</v>
      </c>
      <c r="Z42" s="37">
        <f t="shared" si="4"/>
        <v>0</v>
      </c>
      <c r="AA42" s="37">
        <f t="shared" si="5"/>
        <v>0</v>
      </c>
      <c r="AB42" s="36">
        <f t="shared" si="6"/>
        <v>0</v>
      </c>
      <c r="AC42" s="38">
        <f t="shared" si="7"/>
        <v>0</v>
      </c>
      <c r="AG42" s="66">
        <f t="shared" si="18"/>
        <v>0</v>
      </c>
      <c r="AH42" s="66">
        <f t="shared" si="18"/>
        <v>0</v>
      </c>
      <c r="AI42" s="66">
        <f t="shared" si="18"/>
        <v>0</v>
      </c>
      <c r="AJ42" s="66">
        <f t="shared" si="18"/>
        <v>0</v>
      </c>
      <c r="AK42" s="66">
        <f t="shared" si="18"/>
        <v>0</v>
      </c>
      <c r="AL42" s="66">
        <f t="shared" si="18"/>
        <v>0</v>
      </c>
      <c r="AM42" s="66">
        <f t="shared" si="18"/>
        <v>0</v>
      </c>
      <c r="AN42" s="66">
        <f t="shared" si="18"/>
        <v>0</v>
      </c>
      <c r="AO42" s="66">
        <f t="shared" si="18"/>
        <v>0</v>
      </c>
      <c r="AQ42" s="49">
        <f t="shared" ref="AQ42:AY42" si="20">SUM(O42:O45)</f>
        <v>0</v>
      </c>
      <c r="AR42" s="49">
        <f t="shared" si="20"/>
        <v>0</v>
      </c>
      <c r="AS42" s="49">
        <f t="shared" si="20"/>
        <v>0</v>
      </c>
      <c r="AT42" s="49">
        <f t="shared" si="20"/>
        <v>0</v>
      </c>
      <c r="AU42" s="49">
        <f t="shared" si="20"/>
        <v>0</v>
      </c>
      <c r="AV42" s="49">
        <f t="shared" si="20"/>
        <v>0</v>
      </c>
      <c r="AW42" s="49">
        <f t="shared" si="20"/>
        <v>0</v>
      </c>
      <c r="AX42" s="49">
        <f t="shared" si="20"/>
        <v>0</v>
      </c>
      <c r="AY42" s="49">
        <f t="shared" si="20"/>
        <v>0</v>
      </c>
    </row>
    <row r="43" spans="1:51">
      <c r="A43" s="1">
        <f t="shared" si="10"/>
        <v>0.97916666666666741</v>
      </c>
      <c r="B43" s="1">
        <f t="shared" si="1"/>
        <v>1.0000000000000007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O43" s="24">
        <f t="shared" si="14"/>
        <v>0</v>
      </c>
      <c r="P43" s="24">
        <f t="shared" si="14"/>
        <v>0</v>
      </c>
      <c r="Q43" s="24">
        <f t="shared" si="14"/>
        <v>0</v>
      </c>
      <c r="R43" s="25">
        <f t="shared" si="14"/>
        <v>0</v>
      </c>
      <c r="S43" s="25">
        <f t="shared" si="14"/>
        <v>0</v>
      </c>
      <c r="T43" s="25">
        <f t="shared" si="14"/>
        <v>0</v>
      </c>
      <c r="U43" s="25">
        <f t="shared" si="14"/>
        <v>0</v>
      </c>
      <c r="V43" s="25">
        <f t="shared" si="14"/>
        <v>0</v>
      </c>
      <c r="W43" s="25">
        <f t="shared" si="14"/>
        <v>0</v>
      </c>
      <c r="X43" s="25">
        <f t="shared" si="14"/>
        <v>0</v>
      </c>
      <c r="Y43" s="26">
        <f t="shared" si="3"/>
        <v>0</v>
      </c>
      <c r="Z43" s="27">
        <f t="shared" si="4"/>
        <v>0</v>
      </c>
      <c r="AA43" s="27">
        <f t="shared" si="5"/>
        <v>0</v>
      </c>
      <c r="AB43" s="26">
        <f t="shared" si="6"/>
        <v>0</v>
      </c>
      <c r="AC43" s="28">
        <f t="shared" si="7"/>
        <v>0</v>
      </c>
      <c r="AG43" s="66">
        <f t="shared" si="18"/>
        <v>0</v>
      </c>
      <c r="AH43" s="66">
        <f t="shared" si="18"/>
        <v>0</v>
      </c>
      <c r="AI43" s="66">
        <f t="shared" si="18"/>
        <v>0</v>
      </c>
      <c r="AJ43" s="66">
        <f t="shared" si="18"/>
        <v>0</v>
      </c>
      <c r="AK43" s="66">
        <f t="shared" si="18"/>
        <v>0</v>
      </c>
      <c r="AL43" s="66">
        <f t="shared" si="18"/>
        <v>0</v>
      </c>
      <c r="AM43" s="66">
        <f t="shared" si="18"/>
        <v>0</v>
      </c>
      <c r="AN43" s="66">
        <f t="shared" si="18"/>
        <v>0</v>
      </c>
      <c r="AO43" s="66">
        <f t="shared" si="18"/>
        <v>0</v>
      </c>
      <c r="AU43" s="48"/>
      <c r="AV43" s="48"/>
      <c r="AW43" s="48"/>
      <c r="AX43" s="48"/>
      <c r="AY43" s="48"/>
    </row>
    <row r="44" spans="1:51">
      <c r="A44" s="1">
        <f t="shared" si="10"/>
        <v>1.0000000000000007</v>
      </c>
      <c r="B44" s="1">
        <f t="shared" si="1"/>
        <v>1.0208333333333339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O44" s="24">
        <f t="shared" si="14"/>
        <v>0</v>
      </c>
      <c r="P44" s="24">
        <f t="shared" si="14"/>
        <v>0</v>
      </c>
      <c r="Q44" s="24">
        <f t="shared" si="14"/>
        <v>0</v>
      </c>
      <c r="R44" s="25">
        <f t="shared" si="14"/>
        <v>0</v>
      </c>
      <c r="S44" s="25">
        <f t="shared" si="14"/>
        <v>0</v>
      </c>
      <c r="T44" s="25">
        <f t="shared" si="14"/>
        <v>0</v>
      </c>
      <c r="U44" s="25">
        <f t="shared" si="14"/>
        <v>0</v>
      </c>
      <c r="V44" s="25">
        <f t="shared" si="14"/>
        <v>0</v>
      </c>
      <c r="W44" s="25">
        <f t="shared" si="14"/>
        <v>0</v>
      </c>
      <c r="X44" s="25">
        <f t="shared" si="14"/>
        <v>0</v>
      </c>
      <c r="Y44" s="26">
        <f t="shared" si="3"/>
        <v>0</v>
      </c>
      <c r="Z44" s="27">
        <f t="shared" si="4"/>
        <v>0</v>
      </c>
      <c r="AA44" s="27">
        <f t="shared" si="5"/>
        <v>0</v>
      </c>
      <c r="AB44" s="26">
        <f t="shared" si="6"/>
        <v>0</v>
      </c>
      <c r="AC44" s="28">
        <f t="shared" si="7"/>
        <v>0</v>
      </c>
      <c r="AG44" s="66">
        <f t="shared" si="18"/>
        <v>0</v>
      </c>
      <c r="AH44" s="66">
        <f t="shared" si="18"/>
        <v>0</v>
      </c>
      <c r="AI44" s="66">
        <f t="shared" si="18"/>
        <v>0</v>
      </c>
      <c r="AJ44" s="66">
        <f t="shared" si="18"/>
        <v>0</v>
      </c>
      <c r="AK44" s="66">
        <f t="shared" si="18"/>
        <v>0</v>
      </c>
      <c r="AL44" s="66">
        <f t="shared" si="18"/>
        <v>0</v>
      </c>
      <c r="AM44" s="66">
        <f t="shared" si="18"/>
        <v>0</v>
      </c>
      <c r="AN44" s="66">
        <f t="shared" si="18"/>
        <v>0</v>
      </c>
      <c r="AO44" s="66">
        <f t="shared" si="18"/>
        <v>0</v>
      </c>
      <c r="AU44" s="48"/>
      <c r="AV44" s="48"/>
      <c r="AW44" s="48"/>
      <c r="AX44" s="48"/>
      <c r="AY44" s="48"/>
    </row>
    <row r="45" spans="1:51">
      <c r="A45" s="2">
        <f t="shared" si="10"/>
        <v>1.0208333333333339</v>
      </c>
      <c r="B45" s="2">
        <f t="shared" si="1"/>
        <v>1.0416666666666672</v>
      </c>
      <c r="C45" s="19"/>
      <c r="D45" s="19"/>
      <c r="E45" s="20"/>
      <c r="F45" s="20"/>
      <c r="G45" s="20"/>
      <c r="H45" s="20"/>
      <c r="I45" s="20"/>
      <c r="J45" s="20"/>
      <c r="K45" s="20"/>
      <c r="L45" s="20"/>
      <c r="O45" s="29">
        <f t="shared" si="14"/>
        <v>0</v>
      </c>
      <c r="P45" s="29">
        <f t="shared" si="14"/>
        <v>0</v>
      </c>
      <c r="Q45" s="29">
        <f t="shared" si="14"/>
        <v>0</v>
      </c>
      <c r="R45" s="30">
        <f t="shared" si="14"/>
        <v>0</v>
      </c>
      <c r="S45" s="30">
        <f t="shared" si="14"/>
        <v>0</v>
      </c>
      <c r="T45" s="30">
        <f t="shared" si="14"/>
        <v>0</v>
      </c>
      <c r="U45" s="30">
        <f t="shared" si="14"/>
        <v>0</v>
      </c>
      <c r="V45" s="30">
        <f t="shared" si="14"/>
        <v>0</v>
      </c>
      <c r="W45" s="30">
        <f t="shared" si="14"/>
        <v>0</v>
      </c>
      <c r="X45" s="30">
        <f t="shared" si="14"/>
        <v>0</v>
      </c>
      <c r="Y45" s="31">
        <f t="shared" si="3"/>
        <v>0</v>
      </c>
      <c r="Z45" s="32">
        <f t="shared" si="4"/>
        <v>0</v>
      </c>
      <c r="AA45" s="32">
        <f t="shared" si="5"/>
        <v>0</v>
      </c>
      <c r="AB45" s="31">
        <f t="shared" si="6"/>
        <v>0</v>
      </c>
      <c r="AC45" s="33">
        <f t="shared" si="7"/>
        <v>0</v>
      </c>
      <c r="AG45" s="66">
        <f t="shared" si="18"/>
        <v>0</v>
      </c>
      <c r="AH45" s="66">
        <f t="shared" si="18"/>
        <v>0</v>
      </c>
      <c r="AI45" s="66">
        <f t="shared" si="18"/>
        <v>0</v>
      </c>
      <c r="AJ45" s="66">
        <f t="shared" si="18"/>
        <v>0</v>
      </c>
      <c r="AK45" s="66">
        <f t="shared" si="18"/>
        <v>0</v>
      </c>
      <c r="AL45" s="66">
        <f t="shared" si="18"/>
        <v>0</v>
      </c>
      <c r="AM45" s="66">
        <f t="shared" si="18"/>
        <v>0</v>
      </c>
      <c r="AN45" s="66">
        <f t="shared" si="18"/>
        <v>0</v>
      </c>
      <c r="AO45" s="66">
        <f t="shared" si="18"/>
        <v>0</v>
      </c>
      <c r="AU45" s="48"/>
      <c r="AV45" s="48"/>
      <c r="AW45" s="48"/>
      <c r="AX45" s="48"/>
      <c r="AY45" s="48"/>
    </row>
    <row r="46" spans="1:51">
      <c r="A46" s="3">
        <f t="shared" si="10"/>
        <v>1.0416666666666672</v>
      </c>
      <c r="B46" s="3">
        <f t="shared" si="1"/>
        <v>1.0625000000000004</v>
      </c>
      <c r="C46" s="21"/>
      <c r="D46" s="21"/>
      <c r="E46" s="22"/>
      <c r="F46" s="22"/>
      <c r="G46" s="22"/>
      <c r="H46" s="22"/>
      <c r="I46" s="22"/>
      <c r="J46" s="22"/>
      <c r="K46" s="22"/>
      <c r="L46" s="22"/>
      <c r="O46" s="34">
        <f t="shared" si="14"/>
        <v>0</v>
      </c>
      <c r="P46" s="34">
        <f t="shared" si="14"/>
        <v>0</v>
      </c>
      <c r="Q46" s="34">
        <f t="shared" si="14"/>
        <v>0</v>
      </c>
      <c r="R46" s="35">
        <f t="shared" si="14"/>
        <v>0</v>
      </c>
      <c r="S46" s="35">
        <f t="shared" si="14"/>
        <v>0</v>
      </c>
      <c r="T46" s="35">
        <f t="shared" si="14"/>
        <v>0</v>
      </c>
      <c r="U46" s="35">
        <f t="shared" si="14"/>
        <v>0</v>
      </c>
      <c r="V46" s="35">
        <f t="shared" si="14"/>
        <v>0</v>
      </c>
      <c r="W46" s="35">
        <f t="shared" si="14"/>
        <v>0</v>
      </c>
      <c r="X46" s="35">
        <f t="shared" si="14"/>
        <v>0</v>
      </c>
      <c r="Y46" s="36">
        <f t="shared" si="3"/>
        <v>0</v>
      </c>
      <c r="Z46" s="37">
        <f t="shared" si="4"/>
        <v>0</v>
      </c>
      <c r="AA46" s="37">
        <f t="shared" si="5"/>
        <v>0</v>
      </c>
      <c r="AB46" s="36">
        <f t="shared" si="6"/>
        <v>0</v>
      </c>
      <c r="AC46" s="38">
        <f t="shared" si="7"/>
        <v>0</v>
      </c>
      <c r="AG46" s="66">
        <f t="shared" si="18"/>
        <v>0</v>
      </c>
      <c r="AH46" s="66">
        <f t="shared" si="18"/>
        <v>0</v>
      </c>
      <c r="AI46" s="66">
        <f t="shared" si="18"/>
        <v>0</v>
      </c>
      <c r="AJ46" s="66">
        <f t="shared" si="18"/>
        <v>0</v>
      </c>
      <c r="AK46" s="66">
        <f t="shared" si="18"/>
        <v>0</v>
      </c>
      <c r="AL46" s="66">
        <f t="shared" si="18"/>
        <v>0</v>
      </c>
      <c r="AM46" s="66">
        <f t="shared" si="18"/>
        <v>0</v>
      </c>
      <c r="AN46" s="66">
        <f t="shared" si="18"/>
        <v>0</v>
      </c>
      <c r="AO46" s="66">
        <f t="shared" si="18"/>
        <v>0</v>
      </c>
      <c r="AQ46" s="49">
        <f t="shared" ref="AQ46:AY46" si="21">SUM(O46:O49)</f>
        <v>0</v>
      </c>
      <c r="AR46" s="49">
        <f t="shared" si="21"/>
        <v>0</v>
      </c>
      <c r="AS46" s="49">
        <f t="shared" si="21"/>
        <v>0</v>
      </c>
      <c r="AT46" s="49">
        <f t="shared" si="21"/>
        <v>0</v>
      </c>
      <c r="AU46" s="49">
        <f t="shared" si="21"/>
        <v>0</v>
      </c>
      <c r="AV46" s="49">
        <f t="shared" si="21"/>
        <v>0</v>
      </c>
      <c r="AW46" s="49">
        <f t="shared" si="21"/>
        <v>0</v>
      </c>
      <c r="AX46" s="49">
        <f t="shared" si="21"/>
        <v>0</v>
      </c>
      <c r="AY46" s="49">
        <f t="shared" si="21"/>
        <v>0</v>
      </c>
    </row>
    <row r="47" spans="1:51">
      <c r="A47" s="1">
        <f t="shared" si="10"/>
        <v>1.0625000000000004</v>
      </c>
      <c r="B47" s="1">
        <f t="shared" si="1"/>
        <v>1.0833333333333337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O47" s="24">
        <f t="shared" si="14"/>
        <v>0</v>
      </c>
      <c r="P47" s="24">
        <f t="shared" si="14"/>
        <v>0</v>
      </c>
      <c r="Q47" s="24">
        <f t="shared" si="14"/>
        <v>0</v>
      </c>
      <c r="R47" s="25">
        <f t="shared" si="14"/>
        <v>0</v>
      </c>
      <c r="S47" s="25">
        <f t="shared" si="14"/>
        <v>0</v>
      </c>
      <c r="T47" s="25">
        <f t="shared" si="14"/>
        <v>0</v>
      </c>
      <c r="U47" s="25">
        <f t="shared" si="14"/>
        <v>0</v>
      </c>
      <c r="V47" s="25">
        <f t="shared" si="14"/>
        <v>0</v>
      </c>
      <c r="W47" s="25">
        <f t="shared" si="14"/>
        <v>0</v>
      </c>
      <c r="X47" s="25">
        <f t="shared" si="14"/>
        <v>0</v>
      </c>
      <c r="Y47" s="26">
        <f t="shared" si="3"/>
        <v>0</v>
      </c>
      <c r="Z47" s="27">
        <f t="shared" si="4"/>
        <v>0</v>
      </c>
      <c r="AA47" s="27">
        <f t="shared" si="5"/>
        <v>0</v>
      </c>
      <c r="AB47" s="26">
        <f t="shared" si="6"/>
        <v>0</v>
      </c>
      <c r="AC47" s="28">
        <f t="shared" si="7"/>
        <v>0</v>
      </c>
      <c r="AG47" s="66">
        <f t="shared" si="18"/>
        <v>0</v>
      </c>
      <c r="AH47" s="66">
        <f t="shared" si="18"/>
        <v>0</v>
      </c>
      <c r="AI47" s="66">
        <f t="shared" si="18"/>
        <v>0</v>
      </c>
      <c r="AJ47" s="66">
        <f t="shared" si="18"/>
        <v>0</v>
      </c>
      <c r="AK47" s="66">
        <f t="shared" si="18"/>
        <v>0</v>
      </c>
      <c r="AL47" s="66">
        <f t="shared" si="18"/>
        <v>0</v>
      </c>
      <c r="AM47" s="66">
        <f t="shared" si="18"/>
        <v>0</v>
      </c>
      <c r="AN47" s="66">
        <f t="shared" si="18"/>
        <v>0</v>
      </c>
      <c r="AO47" s="66">
        <f t="shared" si="18"/>
        <v>0</v>
      </c>
      <c r="AU47" s="48"/>
      <c r="AV47" s="48"/>
      <c r="AW47" s="48"/>
      <c r="AX47" s="48"/>
      <c r="AY47" s="48"/>
    </row>
    <row r="48" spans="1:51">
      <c r="A48" s="1">
        <f t="shared" si="10"/>
        <v>1.0833333333333337</v>
      </c>
      <c r="B48" s="1">
        <f t="shared" si="1"/>
        <v>1.104166666666667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O48" s="24">
        <f t="shared" ref="O48:X65" si="22">C48-C47</f>
        <v>0</v>
      </c>
      <c r="P48" s="24">
        <f t="shared" si="22"/>
        <v>0</v>
      </c>
      <c r="Q48" s="24">
        <f t="shared" si="22"/>
        <v>0</v>
      </c>
      <c r="R48" s="25">
        <f t="shared" si="22"/>
        <v>0</v>
      </c>
      <c r="S48" s="25">
        <f t="shared" si="22"/>
        <v>0</v>
      </c>
      <c r="T48" s="25">
        <f t="shared" si="22"/>
        <v>0</v>
      </c>
      <c r="U48" s="25">
        <f t="shared" si="22"/>
        <v>0</v>
      </c>
      <c r="V48" s="25">
        <f t="shared" si="22"/>
        <v>0</v>
      </c>
      <c r="W48" s="25">
        <f t="shared" si="22"/>
        <v>0</v>
      </c>
      <c r="X48" s="25">
        <f t="shared" si="22"/>
        <v>0</v>
      </c>
      <c r="Y48" s="26">
        <f t="shared" si="3"/>
        <v>0</v>
      </c>
      <c r="Z48" s="27">
        <f t="shared" si="4"/>
        <v>0</v>
      </c>
      <c r="AA48" s="27">
        <f t="shared" si="5"/>
        <v>0</v>
      </c>
      <c r="AB48" s="26">
        <f t="shared" si="6"/>
        <v>0</v>
      </c>
      <c r="AC48" s="28">
        <f t="shared" si="7"/>
        <v>0</v>
      </c>
      <c r="AG48" s="66">
        <f t="shared" si="18"/>
        <v>0</v>
      </c>
      <c r="AH48" s="66">
        <f t="shared" si="18"/>
        <v>0</v>
      </c>
      <c r="AI48" s="66">
        <f t="shared" si="18"/>
        <v>0</v>
      </c>
      <c r="AJ48" s="66">
        <f t="shared" si="18"/>
        <v>0</v>
      </c>
      <c r="AK48" s="66">
        <f t="shared" si="18"/>
        <v>0</v>
      </c>
      <c r="AL48" s="66">
        <f t="shared" si="18"/>
        <v>0</v>
      </c>
      <c r="AM48" s="66">
        <f t="shared" si="18"/>
        <v>0</v>
      </c>
      <c r="AN48" s="66">
        <f t="shared" si="18"/>
        <v>0</v>
      </c>
      <c r="AO48" s="66">
        <f t="shared" si="18"/>
        <v>0</v>
      </c>
      <c r="AU48" s="48"/>
      <c r="AV48" s="48"/>
      <c r="AW48" s="48"/>
      <c r="AX48" s="48"/>
      <c r="AY48" s="48"/>
    </row>
    <row r="49" spans="1:51">
      <c r="A49" s="2">
        <f t="shared" si="10"/>
        <v>1.104166666666667</v>
      </c>
      <c r="B49" s="2">
        <f t="shared" si="1"/>
        <v>1.1250000000000002</v>
      </c>
      <c r="C49" s="19"/>
      <c r="D49" s="19"/>
      <c r="E49" s="20"/>
      <c r="F49" s="20"/>
      <c r="G49" s="20"/>
      <c r="H49" s="20"/>
      <c r="I49" s="20"/>
      <c r="J49" s="20"/>
      <c r="K49" s="20"/>
      <c r="L49" s="20"/>
      <c r="O49" s="29">
        <f t="shared" si="22"/>
        <v>0</v>
      </c>
      <c r="P49" s="29">
        <f t="shared" si="22"/>
        <v>0</v>
      </c>
      <c r="Q49" s="29">
        <f t="shared" si="22"/>
        <v>0</v>
      </c>
      <c r="R49" s="30">
        <f t="shared" si="22"/>
        <v>0</v>
      </c>
      <c r="S49" s="30">
        <f t="shared" si="22"/>
        <v>0</v>
      </c>
      <c r="T49" s="30">
        <f t="shared" si="22"/>
        <v>0</v>
      </c>
      <c r="U49" s="30">
        <f t="shared" si="22"/>
        <v>0</v>
      </c>
      <c r="V49" s="30">
        <f t="shared" si="22"/>
        <v>0</v>
      </c>
      <c r="W49" s="30">
        <f t="shared" si="22"/>
        <v>0</v>
      </c>
      <c r="X49" s="30">
        <f t="shared" si="22"/>
        <v>0</v>
      </c>
      <c r="Y49" s="31">
        <f t="shared" si="3"/>
        <v>0</v>
      </c>
      <c r="Z49" s="32">
        <f t="shared" si="4"/>
        <v>0</v>
      </c>
      <c r="AA49" s="32">
        <f t="shared" si="5"/>
        <v>0</v>
      </c>
      <c r="AB49" s="31">
        <f t="shared" si="6"/>
        <v>0</v>
      </c>
      <c r="AC49" s="33">
        <f t="shared" si="7"/>
        <v>0</v>
      </c>
      <c r="AG49" s="66">
        <f t="shared" si="18"/>
        <v>0</v>
      </c>
      <c r="AH49" s="66">
        <f t="shared" si="18"/>
        <v>0</v>
      </c>
      <c r="AI49" s="66">
        <f t="shared" si="18"/>
        <v>0</v>
      </c>
      <c r="AJ49" s="66">
        <f t="shared" si="18"/>
        <v>0</v>
      </c>
      <c r="AK49" s="66">
        <f t="shared" si="18"/>
        <v>0</v>
      </c>
      <c r="AL49" s="66">
        <f t="shared" si="18"/>
        <v>0</v>
      </c>
      <c r="AM49" s="66">
        <f t="shared" si="18"/>
        <v>0</v>
      </c>
      <c r="AN49" s="66">
        <f t="shared" si="18"/>
        <v>0</v>
      </c>
      <c r="AO49" s="66">
        <f t="shared" si="18"/>
        <v>0</v>
      </c>
      <c r="AU49" s="48"/>
      <c r="AV49" s="48"/>
      <c r="AW49" s="48"/>
      <c r="AX49" s="48"/>
      <c r="AY49" s="48"/>
    </row>
    <row r="50" spans="1:51">
      <c r="A50" s="3">
        <f t="shared" si="10"/>
        <v>1.1250000000000002</v>
      </c>
      <c r="B50" s="3">
        <f t="shared" si="1"/>
        <v>1.1458333333333335</v>
      </c>
      <c r="C50" s="21"/>
      <c r="D50" s="21"/>
      <c r="E50" s="22"/>
      <c r="F50" s="22"/>
      <c r="G50" s="22"/>
      <c r="H50" s="22"/>
      <c r="I50" s="22"/>
      <c r="J50" s="22"/>
      <c r="K50" s="22"/>
      <c r="L50" s="22"/>
      <c r="O50" s="34">
        <f t="shared" si="22"/>
        <v>0</v>
      </c>
      <c r="P50" s="34">
        <f t="shared" si="22"/>
        <v>0</v>
      </c>
      <c r="Q50" s="34">
        <f t="shared" si="22"/>
        <v>0</v>
      </c>
      <c r="R50" s="35">
        <f t="shared" si="22"/>
        <v>0</v>
      </c>
      <c r="S50" s="35">
        <f t="shared" si="22"/>
        <v>0</v>
      </c>
      <c r="T50" s="35">
        <f t="shared" si="22"/>
        <v>0</v>
      </c>
      <c r="U50" s="35">
        <f t="shared" si="22"/>
        <v>0</v>
      </c>
      <c r="V50" s="35">
        <f t="shared" si="22"/>
        <v>0</v>
      </c>
      <c r="W50" s="35">
        <f t="shared" si="22"/>
        <v>0</v>
      </c>
      <c r="X50" s="35">
        <f t="shared" si="22"/>
        <v>0</v>
      </c>
      <c r="Y50" s="36">
        <f t="shared" si="3"/>
        <v>0</v>
      </c>
      <c r="Z50" s="37">
        <f t="shared" si="4"/>
        <v>0</v>
      </c>
      <c r="AA50" s="37">
        <f t="shared" si="5"/>
        <v>0</v>
      </c>
      <c r="AB50" s="36">
        <f t="shared" si="6"/>
        <v>0</v>
      </c>
      <c r="AC50" s="38">
        <f t="shared" si="7"/>
        <v>0</v>
      </c>
      <c r="AG50" s="66">
        <f t="shared" si="18"/>
        <v>0</v>
      </c>
      <c r="AH50" s="66">
        <f t="shared" si="18"/>
        <v>0</v>
      </c>
      <c r="AI50" s="66">
        <f t="shared" si="18"/>
        <v>0</v>
      </c>
      <c r="AJ50" s="66">
        <f t="shared" si="18"/>
        <v>0</v>
      </c>
      <c r="AK50" s="66">
        <f t="shared" si="18"/>
        <v>0</v>
      </c>
      <c r="AL50" s="66">
        <f t="shared" si="18"/>
        <v>0</v>
      </c>
      <c r="AM50" s="66">
        <f t="shared" si="18"/>
        <v>0</v>
      </c>
      <c r="AN50" s="66">
        <f t="shared" si="18"/>
        <v>0</v>
      </c>
      <c r="AO50" s="66">
        <f t="shared" si="18"/>
        <v>0</v>
      </c>
      <c r="AQ50" s="49">
        <f t="shared" ref="AQ50:AY50" si="23">SUM(O50:O53)</f>
        <v>0</v>
      </c>
      <c r="AR50" s="49">
        <f t="shared" si="23"/>
        <v>0</v>
      </c>
      <c r="AS50" s="49">
        <f t="shared" si="23"/>
        <v>0</v>
      </c>
      <c r="AT50" s="49">
        <f t="shared" si="23"/>
        <v>0</v>
      </c>
      <c r="AU50" s="49">
        <f t="shared" si="23"/>
        <v>0</v>
      </c>
      <c r="AV50" s="49">
        <f t="shared" si="23"/>
        <v>0</v>
      </c>
      <c r="AW50" s="49">
        <f t="shared" si="23"/>
        <v>0</v>
      </c>
      <c r="AX50" s="49">
        <f t="shared" si="23"/>
        <v>0</v>
      </c>
      <c r="AY50" s="49">
        <f t="shared" si="23"/>
        <v>0</v>
      </c>
    </row>
    <row r="51" spans="1:51">
      <c r="A51" s="1">
        <f t="shared" si="10"/>
        <v>1.1458333333333335</v>
      </c>
      <c r="B51" s="1">
        <f t="shared" si="1"/>
        <v>1.1666666666666667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O51" s="24">
        <f t="shared" si="22"/>
        <v>0</v>
      </c>
      <c r="P51" s="24">
        <f t="shared" si="22"/>
        <v>0</v>
      </c>
      <c r="Q51" s="24">
        <f t="shared" si="22"/>
        <v>0</v>
      </c>
      <c r="R51" s="25">
        <f t="shared" si="22"/>
        <v>0</v>
      </c>
      <c r="S51" s="25">
        <f t="shared" si="22"/>
        <v>0</v>
      </c>
      <c r="T51" s="25">
        <f t="shared" si="22"/>
        <v>0</v>
      </c>
      <c r="U51" s="25">
        <f t="shared" si="22"/>
        <v>0</v>
      </c>
      <c r="V51" s="25">
        <f t="shared" si="22"/>
        <v>0</v>
      </c>
      <c r="W51" s="25">
        <f t="shared" si="22"/>
        <v>0</v>
      </c>
      <c r="X51" s="25">
        <f t="shared" si="22"/>
        <v>0</v>
      </c>
      <c r="Y51" s="26">
        <f t="shared" si="3"/>
        <v>0</v>
      </c>
      <c r="Z51" s="27">
        <f t="shared" si="4"/>
        <v>0</v>
      </c>
      <c r="AA51" s="27">
        <f t="shared" si="5"/>
        <v>0</v>
      </c>
      <c r="AB51" s="26">
        <f t="shared" si="6"/>
        <v>0</v>
      </c>
      <c r="AC51" s="28">
        <f t="shared" si="7"/>
        <v>0</v>
      </c>
      <c r="AG51" s="66">
        <f t="shared" si="18"/>
        <v>0</v>
      </c>
      <c r="AH51" s="66">
        <f t="shared" si="18"/>
        <v>0</v>
      </c>
      <c r="AI51" s="66">
        <f t="shared" si="18"/>
        <v>0</v>
      </c>
      <c r="AJ51" s="66">
        <f t="shared" si="18"/>
        <v>0</v>
      </c>
      <c r="AK51" s="66">
        <f t="shared" si="18"/>
        <v>0</v>
      </c>
      <c r="AL51" s="66">
        <f t="shared" si="18"/>
        <v>0</v>
      </c>
      <c r="AM51" s="66">
        <f t="shared" si="18"/>
        <v>0</v>
      </c>
      <c r="AN51" s="66">
        <f t="shared" si="18"/>
        <v>0</v>
      </c>
      <c r="AO51" s="66">
        <f t="shared" si="18"/>
        <v>0</v>
      </c>
      <c r="AU51" s="48"/>
      <c r="AV51" s="48"/>
      <c r="AW51" s="48"/>
      <c r="AX51" s="48"/>
      <c r="AY51" s="48"/>
    </row>
    <row r="52" spans="1:51">
      <c r="A52" s="1">
        <f t="shared" si="10"/>
        <v>1.1666666666666667</v>
      </c>
      <c r="B52" s="1">
        <f t="shared" si="1"/>
        <v>1.1875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O52" s="24">
        <f t="shared" si="22"/>
        <v>0</v>
      </c>
      <c r="P52" s="24">
        <f t="shared" si="22"/>
        <v>0</v>
      </c>
      <c r="Q52" s="24">
        <f t="shared" si="22"/>
        <v>0</v>
      </c>
      <c r="R52" s="25">
        <f t="shared" si="22"/>
        <v>0</v>
      </c>
      <c r="S52" s="25">
        <f t="shared" si="22"/>
        <v>0</v>
      </c>
      <c r="T52" s="25">
        <f t="shared" si="22"/>
        <v>0</v>
      </c>
      <c r="U52" s="25">
        <f t="shared" si="22"/>
        <v>0</v>
      </c>
      <c r="V52" s="25">
        <f t="shared" si="22"/>
        <v>0</v>
      </c>
      <c r="W52" s="25">
        <f t="shared" si="22"/>
        <v>0</v>
      </c>
      <c r="X52" s="25">
        <f t="shared" si="22"/>
        <v>0</v>
      </c>
      <c r="Y52" s="26">
        <f t="shared" si="3"/>
        <v>0</v>
      </c>
      <c r="Z52" s="27">
        <f t="shared" si="4"/>
        <v>0</v>
      </c>
      <c r="AA52" s="27">
        <f t="shared" si="5"/>
        <v>0</v>
      </c>
      <c r="AB52" s="26">
        <f t="shared" si="6"/>
        <v>0</v>
      </c>
      <c r="AC52" s="28">
        <f t="shared" si="7"/>
        <v>0</v>
      </c>
      <c r="AG52" s="66">
        <f t="shared" si="18"/>
        <v>0</v>
      </c>
      <c r="AH52" s="66">
        <f t="shared" si="18"/>
        <v>0</v>
      </c>
      <c r="AI52" s="66">
        <f t="shared" si="18"/>
        <v>0</v>
      </c>
      <c r="AJ52" s="66">
        <f t="shared" si="18"/>
        <v>0</v>
      </c>
      <c r="AK52" s="66">
        <f t="shared" si="18"/>
        <v>0</v>
      </c>
      <c r="AL52" s="66">
        <f t="shared" si="18"/>
        <v>0</v>
      </c>
      <c r="AM52" s="66">
        <f t="shared" si="18"/>
        <v>0</v>
      </c>
      <c r="AN52" s="66">
        <f t="shared" si="18"/>
        <v>0</v>
      </c>
      <c r="AO52" s="66">
        <f t="shared" si="18"/>
        <v>0</v>
      </c>
      <c r="AU52" s="48"/>
      <c r="AV52" s="48"/>
      <c r="AW52" s="48"/>
      <c r="AX52" s="48"/>
      <c r="AY52" s="48"/>
    </row>
    <row r="53" spans="1:51" ht="15.75" thickBot="1">
      <c r="A53" s="4">
        <f t="shared" si="10"/>
        <v>1.1875</v>
      </c>
      <c r="B53" s="4">
        <f t="shared" si="1"/>
        <v>1.2083333333333333</v>
      </c>
      <c r="C53" s="19"/>
      <c r="D53" s="19"/>
      <c r="E53" s="20"/>
      <c r="F53" s="20"/>
      <c r="G53" s="20"/>
      <c r="H53" s="20"/>
      <c r="I53" s="20"/>
      <c r="J53" s="20"/>
      <c r="K53" s="20"/>
      <c r="L53" s="20"/>
      <c r="O53" s="39">
        <f t="shared" si="22"/>
        <v>0</v>
      </c>
      <c r="P53" s="39">
        <f t="shared" si="22"/>
        <v>0</v>
      </c>
      <c r="Q53" s="39">
        <f t="shared" si="22"/>
        <v>0</v>
      </c>
      <c r="R53" s="40">
        <f t="shared" si="22"/>
        <v>0</v>
      </c>
      <c r="S53" s="40">
        <f t="shared" si="22"/>
        <v>0</v>
      </c>
      <c r="T53" s="40">
        <f t="shared" si="22"/>
        <v>0</v>
      </c>
      <c r="U53" s="40">
        <f t="shared" si="22"/>
        <v>0</v>
      </c>
      <c r="V53" s="40">
        <f t="shared" si="22"/>
        <v>0</v>
      </c>
      <c r="W53" s="40">
        <f t="shared" si="22"/>
        <v>0</v>
      </c>
      <c r="X53" s="40">
        <f t="shared" si="22"/>
        <v>0</v>
      </c>
      <c r="Y53" s="41">
        <f t="shared" si="3"/>
        <v>0</v>
      </c>
      <c r="Z53" s="42">
        <f t="shared" si="4"/>
        <v>0</v>
      </c>
      <c r="AA53" s="42">
        <f t="shared" si="5"/>
        <v>0</v>
      </c>
      <c r="AB53" s="41">
        <f t="shared" si="6"/>
        <v>0</v>
      </c>
      <c r="AC53" s="43">
        <f t="shared" si="7"/>
        <v>0</v>
      </c>
      <c r="AG53" s="66">
        <f t="shared" si="18"/>
        <v>0</v>
      </c>
      <c r="AH53" s="66">
        <f t="shared" si="18"/>
        <v>0</v>
      </c>
      <c r="AI53" s="66">
        <f t="shared" si="18"/>
        <v>0</v>
      </c>
      <c r="AJ53" s="66">
        <f t="shared" si="18"/>
        <v>0</v>
      </c>
      <c r="AK53" s="66">
        <f t="shared" si="18"/>
        <v>0</v>
      </c>
      <c r="AL53" s="66">
        <f t="shared" si="18"/>
        <v>0</v>
      </c>
      <c r="AM53" s="66">
        <f t="shared" si="18"/>
        <v>0</v>
      </c>
      <c r="AN53" s="66">
        <f t="shared" si="18"/>
        <v>0</v>
      </c>
      <c r="AO53" s="66">
        <f t="shared" si="18"/>
        <v>0</v>
      </c>
      <c r="AU53" s="48"/>
      <c r="AV53" s="48"/>
      <c r="AW53" s="48"/>
      <c r="AX53" s="48"/>
      <c r="AY53" s="48"/>
    </row>
    <row r="54" spans="1:51">
      <c r="A54" s="3">
        <f t="shared" si="10"/>
        <v>1.2083333333333333</v>
      </c>
      <c r="B54" s="3">
        <f t="shared" si="1"/>
        <v>1.2291666666666665</v>
      </c>
      <c r="C54" s="21"/>
      <c r="D54" s="21"/>
      <c r="E54" s="22"/>
      <c r="F54" s="22"/>
      <c r="G54" s="22"/>
      <c r="H54" s="22"/>
      <c r="I54" s="22"/>
      <c r="J54" s="22"/>
      <c r="K54" s="22"/>
      <c r="L54" s="22"/>
      <c r="O54" s="34">
        <f t="shared" si="22"/>
        <v>0</v>
      </c>
      <c r="P54" s="34">
        <f t="shared" si="22"/>
        <v>0</v>
      </c>
      <c r="Q54" s="34">
        <f t="shared" si="22"/>
        <v>0</v>
      </c>
      <c r="R54" s="35">
        <f t="shared" si="22"/>
        <v>0</v>
      </c>
      <c r="S54" s="35">
        <f t="shared" si="22"/>
        <v>0</v>
      </c>
      <c r="T54" s="35">
        <f t="shared" si="22"/>
        <v>0</v>
      </c>
      <c r="U54" s="35">
        <f t="shared" si="22"/>
        <v>0</v>
      </c>
      <c r="V54" s="35">
        <f t="shared" si="22"/>
        <v>0</v>
      </c>
      <c r="W54" s="35">
        <f t="shared" si="22"/>
        <v>0</v>
      </c>
      <c r="X54" s="35">
        <f t="shared" si="22"/>
        <v>0</v>
      </c>
      <c r="Y54" s="36">
        <f t="shared" si="3"/>
        <v>0</v>
      </c>
      <c r="Z54" s="37">
        <f t="shared" si="4"/>
        <v>0</v>
      </c>
      <c r="AA54" s="37">
        <f t="shared" si="5"/>
        <v>0</v>
      </c>
      <c r="AB54" s="36">
        <f t="shared" si="6"/>
        <v>0</v>
      </c>
      <c r="AC54" s="38">
        <f t="shared" si="7"/>
        <v>0</v>
      </c>
      <c r="AG54" s="66">
        <f t="shared" si="18"/>
        <v>0</v>
      </c>
      <c r="AH54" s="66">
        <f t="shared" si="18"/>
        <v>0</v>
      </c>
      <c r="AI54" s="66">
        <f t="shared" si="18"/>
        <v>0</v>
      </c>
      <c r="AJ54" s="66">
        <f t="shared" si="18"/>
        <v>0</v>
      </c>
      <c r="AK54" s="66">
        <f t="shared" si="18"/>
        <v>0</v>
      </c>
      <c r="AL54" s="66">
        <f t="shared" si="18"/>
        <v>0</v>
      </c>
      <c r="AM54" s="66">
        <f t="shared" si="18"/>
        <v>0</v>
      </c>
      <c r="AN54" s="66">
        <f t="shared" si="18"/>
        <v>0</v>
      </c>
      <c r="AO54" s="66">
        <f t="shared" si="18"/>
        <v>0</v>
      </c>
      <c r="AQ54" s="49">
        <f t="shared" ref="AQ54:AY54" si="24">SUM(O54:O57)</f>
        <v>0</v>
      </c>
      <c r="AR54" s="49">
        <f t="shared" si="24"/>
        <v>0</v>
      </c>
      <c r="AS54" s="49">
        <f t="shared" si="24"/>
        <v>0</v>
      </c>
      <c r="AT54" s="49">
        <f t="shared" si="24"/>
        <v>0</v>
      </c>
      <c r="AU54" s="49">
        <f t="shared" si="24"/>
        <v>0</v>
      </c>
      <c r="AV54" s="49">
        <f t="shared" si="24"/>
        <v>0</v>
      </c>
      <c r="AW54" s="49">
        <f t="shared" si="24"/>
        <v>0</v>
      </c>
      <c r="AX54" s="49">
        <f t="shared" si="24"/>
        <v>0</v>
      </c>
      <c r="AY54" s="49">
        <f t="shared" si="24"/>
        <v>0</v>
      </c>
    </row>
    <row r="55" spans="1:51">
      <c r="A55" s="1">
        <f t="shared" si="10"/>
        <v>1.2291666666666665</v>
      </c>
      <c r="B55" s="1">
        <f t="shared" si="1"/>
        <v>1.2499999999999998</v>
      </c>
      <c r="C55" s="17"/>
      <c r="D55" s="17"/>
      <c r="E55" s="18"/>
      <c r="F55" s="18"/>
      <c r="G55" s="18"/>
      <c r="H55" s="18"/>
      <c r="I55" s="18"/>
      <c r="J55" s="18"/>
      <c r="K55" s="18"/>
      <c r="L55" s="18"/>
      <c r="O55" s="24">
        <f t="shared" si="22"/>
        <v>0</v>
      </c>
      <c r="P55" s="24">
        <f t="shared" si="22"/>
        <v>0</v>
      </c>
      <c r="Q55" s="24">
        <f t="shared" si="22"/>
        <v>0</v>
      </c>
      <c r="R55" s="25">
        <f t="shared" si="22"/>
        <v>0</v>
      </c>
      <c r="S55" s="25">
        <f t="shared" si="22"/>
        <v>0</v>
      </c>
      <c r="T55" s="25">
        <f t="shared" si="22"/>
        <v>0</v>
      </c>
      <c r="U55" s="25">
        <f t="shared" si="22"/>
        <v>0</v>
      </c>
      <c r="V55" s="25">
        <f t="shared" si="22"/>
        <v>0</v>
      </c>
      <c r="W55" s="25">
        <f t="shared" si="22"/>
        <v>0</v>
      </c>
      <c r="X55" s="25">
        <f t="shared" si="22"/>
        <v>0</v>
      </c>
      <c r="Y55" s="26">
        <f t="shared" si="3"/>
        <v>0</v>
      </c>
      <c r="Z55" s="27">
        <f t="shared" si="4"/>
        <v>0</v>
      </c>
      <c r="AA55" s="27">
        <f t="shared" si="5"/>
        <v>0</v>
      </c>
      <c r="AB55" s="26">
        <f t="shared" si="6"/>
        <v>0</v>
      </c>
      <c r="AC55" s="28">
        <f t="shared" si="7"/>
        <v>0</v>
      </c>
      <c r="AG55" s="66">
        <f t="shared" si="18"/>
        <v>0</v>
      </c>
      <c r="AH55" s="66">
        <f t="shared" si="18"/>
        <v>0</v>
      </c>
      <c r="AI55" s="66">
        <f t="shared" si="18"/>
        <v>0</v>
      </c>
      <c r="AJ55" s="66">
        <f t="shared" si="18"/>
        <v>0</v>
      </c>
      <c r="AK55" s="66">
        <f t="shared" si="18"/>
        <v>0</v>
      </c>
      <c r="AL55" s="66">
        <f t="shared" si="18"/>
        <v>0</v>
      </c>
      <c r="AM55" s="66">
        <f t="shared" si="18"/>
        <v>0</v>
      </c>
      <c r="AN55" s="66">
        <f t="shared" si="18"/>
        <v>0</v>
      </c>
      <c r="AO55" s="66">
        <f t="shared" si="18"/>
        <v>0</v>
      </c>
      <c r="AU55" s="48"/>
      <c r="AV55" s="48"/>
      <c r="AW55" s="48"/>
      <c r="AX55" s="48"/>
      <c r="AY55" s="48"/>
    </row>
    <row r="56" spans="1:51">
      <c r="A56" s="1">
        <f t="shared" si="10"/>
        <v>1.2499999999999998</v>
      </c>
      <c r="B56" s="1">
        <f t="shared" si="1"/>
        <v>1.270833333333333</v>
      </c>
      <c r="C56" s="17"/>
      <c r="D56" s="17"/>
      <c r="E56" s="18"/>
      <c r="F56" s="18"/>
      <c r="G56" s="18"/>
      <c r="H56" s="18"/>
      <c r="I56" s="18"/>
      <c r="J56" s="18"/>
      <c r="K56" s="18"/>
      <c r="L56" s="18"/>
      <c r="O56" s="24">
        <f t="shared" si="22"/>
        <v>0</v>
      </c>
      <c r="P56" s="24">
        <f t="shared" si="22"/>
        <v>0</v>
      </c>
      <c r="Q56" s="24">
        <f t="shared" si="22"/>
        <v>0</v>
      </c>
      <c r="R56" s="25">
        <f t="shared" si="22"/>
        <v>0</v>
      </c>
      <c r="S56" s="25">
        <f t="shared" si="22"/>
        <v>0</v>
      </c>
      <c r="T56" s="25">
        <f t="shared" si="22"/>
        <v>0</v>
      </c>
      <c r="U56" s="25">
        <f t="shared" si="22"/>
        <v>0</v>
      </c>
      <c r="V56" s="25">
        <f t="shared" si="22"/>
        <v>0</v>
      </c>
      <c r="W56" s="25">
        <f t="shared" si="22"/>
        <v>0</v>
      </c>
      <c r="X56" s="25">
        <f t="shared" si="22"/>
        <v>0</v>
      </c>
      <c r="Y56" s="26">
        <f t="shared" si="3"/>
        <v>0</v>
      </c>
      <c r="Z56" s="27">
        <f t="shared" si="4"/>
        <v>0</v>
      </c>
      <c r="AA56" s="27">
        <f t="shared" si="5"/>
        <v>0</v>
      </c>
      <c r="AB56" s="26">
        <f t="shared" si="6"/>
        <v>0</v>
      </c>
      <c r="AC56" s="28">
        <f t="shared" si="7"/>
        <v>0</v>
      </c>
      <c r="AG56" s="66">
        <f t="shared" si="18"/>
        <v>0</v>
      </c>
      <c r="AH56" s="66">
        <f t="shared" si="18"/>
        <v>0</v>
      </c>
      <c r="AI56" s="66">
        <f t="shared" si="18"/>
        <v>0</v>
      </c>
      <c r="AJ56" s="66">
        <f t="shared" si="18"/>
        <v>0</v>
      </c>
      <c r="AK56" s="66">
        <f t="shared" si="18"/>
        <v>0</v>
      </c>
      <c r="AL56" s="66">
        <f t="shared" si="18"/>
        <v>0</v>
      </c>
      <c r="AM56" s="66">
        <f t="shared" si="18"/>
        <v>0</v>
      </c>
      <c r="AN56" s="66">
        <f t="shared" si="18"/>
        <v>0</v>
      </c>
      <c r="AO56" s="66">
        <f t="shared" si="18"/>
        <v>0</v>
      </c>
      <c r="AU56" s="48"/>
      <c r="AV56" s="48"/>
      <c r="AW56" s="48"/>
      <c r="AX56" s="48"/>
      <c r="AY56" s="48"/>
    </row>
    <row r="57" spans="1:51">
      <c r="A57" s="2">
        <f t="shared" si="10"/>
        <v>1.270833333333333</v>
      </c>
      <c r="B57" s="2">
        <f t="shared" si="1"/>
        <v>1.2916666666666663</v>
      </c>
      <c r="C57" s="19"/>
      <c r="D57" s="19"/>
      <c r="E57" s="20"/>
      <c r="F57" s="20"/>
      <c r="G57" s="20"/>
      <c r="H57" s="20"/>
      <c r="I57" s="20"/>
      <c r="J57" s="20"/>
      <c r="K57" s="20"/>
      <c r="L57" s="20"/>
      <c r="O57" s="29">
        <f t="shared" si="22"/>
        <v>0</v>
      </c>
      <c r="P57" s="29">
        <f t="shared" si="22"/>
        <v>0</v>
      </c>
      <c r="Q57" s="29">
        <f t="shared" si="22"/>
        <v>0</v>
      </c>
      <c r="R57" s="30">
        <f t="shared" si="22"/>
        <v>0</v>
      </c>
      <c r="S57" s="30">
        <f t="shared" si="22"/>
        <v>0</v>
      </c>
      <c r="T57" s="30">
        <f t="shared" si="22"/>
        <v>0</v>
      </c>
      <c r="U57" s="30">
        <f t="shared" si="22"/>
        <v>0</v>
      </c>
      <c r="V57" s="30">
        <f t="shared" si="22"/>
        <v>0</v>
      </c>
      <c r="W57" s="30">
        <f t="shared" si="22"/>
        <v>0</v>
      </c>
      <c r="X57" s="30">
        <f t="shared" si="22"/>
        <v>0</v>
      </c>
      <c r="Y57" s="31">
        <f t="shared" si="3"/>
        <v>0</v>
      </c>
      <c r="Z57" s="32">
        <f t="shared" si="4"/>
        <v>0</v>
      </c>
      <c r="AA57" s="32">
        <f t="shared" si="5"/>
        <v>0</v>
      </c>
      <c r="AB57" s="31">
        <f t="shared" si="6"/>
        <v>0</v>
      </c>
      <c r="AC57" s="33">
        <f t="shared" si="7"/>
        <v>0</v>
      </c>
      <c r="AG57" s="66">
        <f t="shared" si="18"/>
        <v>0</v>
      </c>
      <c r="AH57" s="66">
        <f t="shared" si="18"/>
        <v>0</v>
      </c>
      <c r="AI57" s="66">
        <f t="shared" si="18"/>
        <v>0</v>
      </c>
      <c r="AJ57" s="66">
        <f t="shared" si="18"/>
        <v>0</v>
      </c>
      <c r="AK57" s="66">
        <f t="shared" si="18"/>
        <v>0</v>
      </c>
      <c r="AL57" s="66">
        <f t="shared" si="18"/>
        <v>0</v>
      </c>
      <c r="AM57" s="66">
        <f t="shared" si="18"/>
        <v>0</v>
      </c>
      <c r="AN57" s="66">
        <f t="shared" si="18"/>
        <v>0</v>
      </c>
      <c r="AO57" s="66">
        <f t="shared" si="18"/>
        <v>0</v>
      </c>
      <c r="AU57" s="48"/>
      <c r="AV57" s="48"/>
      <c r="AW57" s="48"/>
      <c r="AX57" s="48"/>
      <c r="AY57" s="48"/>
    </row>
    <row r="58" spans="1:51">
      <c r="A58" s="3">
        <f t="shared" si="10"/>
        <v>1.2916666666666663</v>
      </c>
      <c r="B58" s="3">
        <f t="shared" si="1"/>
        <v>1.3124999999999996</v>
      </c>
      <c r="C58" s="21"/>
      <c r="D58" s="21"/>
      <c r="E58" s="22"/>
      <c r="F58" s="22"/>
      <c r="G58" s="22"/>
      <c r="H58" s="22"/>
      <c r="I58" s="22"/>
      <c r="J58" s="22"/>
      <c r="K58" s="22"/>
      <c r="L58" s="22"/>
      <c r="O58" s="34">
        <f t="shared" si="22"/>
        <v>0</v>
      </c>
      <c r="P58" s="34">
        <f t="shared" si="22"/>
        <v>0</v>
      </c>
      <c r="Q58" s="34">
        <f t="shared" si="22"/>
        <v>0</v>
      </c>
      <c r="R58" s="35">
        <f t="shared" si="22"/>
        <v>0</v>
      </c>
      <c r="S58" s="35">
        <f t="shared" si="22"/>
        <v>0</v>
      </c>
      <c r="T58" s="35">
        <f t="shared" si="22"/>
        <v>0</v>
      </c>
      <c r="U58" s="35">
        <f t="shared" si="22"/>
        <v>0</v>
      </c>
      <c r="V58" s="35">
        <f t="shared" si="22"/>
        <v>0</v>
      </c>
      <c r="W58" s="35">
        <f t="shared" si="22"/>
        <v>0</v>
      </c>
      <c r="X58" s="35">
        <f t="shared" si="22"/>
        <v>0</v>
      </c>
      <c r="Y58" s="36">
        <f t="shared" si="3"/>
        <v>0</v>
      </c>
      <c r="Z58" s="37">
        <f t="shared" si="4"/>
        <v>0</v>
      </c>
      <c r="AA58" s="37">
        <f t="shared" si="5"/>
        <v>0</v>
      </c>
      <c r="AB58" s="36">
        <f t="shared" si="6"/>
        <v>0</v>
      </c>
      <c r="AC58" s="38">
        <f t="shared" si="7"/>
        <v>0</v>
      </c>
      <c r="AG58" s="66">
        <f t="shared" si="18"/>
        <v>0</v>
      </c>
      <c r="AH58" s="66">
        <f t="shared" si="18"/>
        <v>0</v>
      </c>
      <c r="AI58" s="66">
        <f t="shared" si="18"/>
        <v>0</v>
      </c>
      <c r="AJ58" s="66">
        <f t="shared" si="18"/>
        <v>0</v>
      </c>
      <c r="AK58" s="66">
        <f t="shared" si="18"/>
        <v>0</v>
      </c>
      <c r="AL58" s="66">
        <f t="shared" si="18"/>
        <v>0</v>
      </c>
      <c r="AM58" s="66">
        <f t="shared" si="18"/>
        <v>0</v>
      </c>
      <c r="AN58" s="66">
        <f t="shared" si="18"/>
        <v>0</v>
      </c>
      <c r="AO58" s="66">
        <f t="shared" si="18"/>
        <v>0</v>
      </c>
      <c r="AQ58" s="49">
        <f t="shared" ref="AQ58:AY58" si="25">SUM(O58:O61)</f>
        <v>0</v>
      </c>
      <c r="AR58" s="49">
        <f t="shared" si="25"/>
        <v>0</v>
      </c>
      <c r="AS58" s="49">
        <f t="shared" si="25"/>
        <v>0</v>
      </c>
      <c r="AT58" s="49">
        <f t="shared" si="25"/>
        <v>0</v>
      </c>
      <c r="AU58" s="49">
        <f t="shared" si="25"/>
        <v>0</v>
      </c>
      <c r="AV58" s="49">
        <f t="shared" si="25"/>
        <v>0</v>
      </c>
      <c r="AW58" s="49">
        <f t="shared" si="25"/>
        <v>0</v>
      </c>
      <c r="AX58" s="49">
        <f t="shared" si="25"/>
        <v>0</v>
      </c>
      <c r="AY58" s="49">
        <f t="shared" si="25"/>
        <v>0</v>
      </c>
    </row>
    <row r="59" spans="1:51">
      <c r="A59" s="1">
        <f t="shared" si="10"/>
        <v>1.3124999999999996</v>
      </c>
      <c r="B59" s="1">
        <f t="shared" si="1"/>
        <v>1.3333333333333328</v>
      </c>
      <c r="C59" s="17"/>
      <c r="D59" s="17"/>
      <c r="E59" s="18"/>
      <c r="F59" s="18"/>
      <c r="G59" s="18"/>
      <c r="H59" s="18"/>
      <c r="I59" s="18"/>
      <c r="J59" s="18"/>
      <c r="K59" s="18"/>
      <c r="L59" s="18"/>
      <c r="O59" s="24">
        <f t="shared" si="22"/>
        <v>0</v>
      </c>
      <c r="P59" s="24">
        <f t="shared" si="22"/>
        <v>0</v>
      </c>
      <c r="Q59" s="24">
        <f t="shared" si="22"/>
        <v>0</v>
      </c>
      <c r="R59" s="25">
        <f t="shared" si="22"/>
        <v>0</v>
      </c>
      <c r="S59" s="25">
        <f t="shared" si="22"/>
        <v>0</v>
      </c>
      <c r="T59" s="25">
        <f t="shared" si="22"/>
        <v>0</v>
      </c>
      <c r="U59" s="25">
        <f t="shared" si="22"/>
        <v>0</v>
      </c>
      <c r="V59" s="25">
        <f t="shared" si="22"/>
        <v>0</v>
      </c>
      <c r="W59" s="25">
        <f t="shared" si="22"/>
        <v>0</v>
      </c>
      <c r="X59" s="25">
        <f t="shared" si="22"/>
        <v>0</v>
      </c>
      <c r="Y59" s="26">
        <f t="shared" si="3"/>
        <v>0</v>
      </c>
      <c r="Z59" s="27">
        <f t="shared" si="4"/>
        <v>0</v>
      </c>
      <c r="AA59" s="27">
        <f t="shared" si="5"/>
        <v>0</v>
      </c>
      <c r="AB59" s="26">
        <f t="shared" si="6"/>
        <v>0</v>
      </c>
      <c r="AC59" s="28">
        <f t="shared" si="7"/>
        <v>0</v>
      </c>
      <c r="AG59" s="66">
        <f t="shared" si="18"/>
        <v>0</v>
      </c>
      <c r="AH59" s="66">
        <f t="shared" si="18"/>
        <v>0</v>
      </c>
      <c r="AI59" s="66">
        <f t="shared" si="18"/>
        <v>0</v>
      </c>
      <c r="AJ59" s="66">
        <f t="shared" si="18"/>
        <v>0</v>
      </c>
      <c r="AK59" s="66">
        <f t="shared" si="18"/>
        <v>0</v>
      </c>
      <c r="AL59" s="66">
        <f t="shared" si="18"/>
        <v>0</v>
      </c>
      <c r="AM59" s="66">
        <f t="shared" si="18"/>
        <v>0</v>
      </c>
      <c r="AN59" s="66">
        <f t="shared" si="18"/>
        <v>0</v>
      </c>
      <c r="AO59" s="66">
        <f t="shared" si="18"/>
        <v>0</v>
      </c>
      <c r="AU59" s="48"/>
      <c r="AV59" s="48"/>
      <c r="AW59" s="48"/>
      <c r="AX59" s="48"/>
      <c r="AY59" s="48"/>
    </row>
    <row r="60" spans="1:51">
      <c r="A60" s="1">
        <f t="shared" si="10"/>
        <v>1.3333333333333328</v>
      </c>
      <c r="B60" s="1">
        <f t="shared" si="1"/>
        <v>1.3541666666666661</v>
      </c>
      <c r="C60" s="17"/>
      <c r="D60" s="17"/>
      <c r="E60" s="18"/>
      <c r="F60" s="18"/>
      <c r="G60" s="18"/>
      <c r="H60" s="18"/>
      <c r="I60" s="18"/>
      <c r="J60" s="18"/>
      <c r="K60" s="18"/>
      <c r="L60" s="18"/>
      <c r="O60" s="24">
        <f t="shared" si="22"/>
        <v>0</v>
      </c>
      <c r="P60" s="24">
        <f t="shared" si="22"/>
        <v>0</v>
      </c>
      <c r="Q60" s="24">
        <f t="shared" si="22"/>
        <v>0</v>
      </c>
      <c r="R60" s="25">
        <f t="shared" si="22"/>
        <v>0</v>
      </c>
      <c r="S60" s="25">
        <f t="shared" si="22"/>
        <v>0</v>
      </c>
      <c r="T60" s="25">
        <f t="shared" si="22"/>
        <v>0</v>
      </c>
      <c r="U60" s="25">
        <f t="shared" si="22"/>
        <v>0</v>
      </c>
      <c r="V60" s="25">
        <f t="shared" si="22"/>
        <v>0</v>
      </c>
      <c r="W60" s="25">
        <f t="shared" si="22"/>
        <v>0</v>
      </c>
      <c r="X60" s="25">
        <f t="shared" si="22"/>
        <v>0</v>
      </c>
      <c r="Y60" s="26">
        <f t="shared" si="3"/>
        <v>0</v>
      </c>
      <c r="Z60" s="27">
        <f t="shared" si="4"/>
        <v>0</v>
      </c>
      <c r="AA60" s="27">
        <f t="shared" si="5"/>
        <v>0</v>
      </c>
      <c r="AB60" s="26">
        <f t="shared" si="6"/>
        <v>0</v>
      </c>
      <c r="AC60" s="28">
        <f t="shared" si="7"/>
        <v>0</v>
      </c>
      <c r="AG60" s="66">
        <f t="shared" si="18"/>
        <v>0</v>
      </c>
      <c r="AH60" s="66">
        <f t="shared" si="18"/>
        <v>0</v>
      </c>
      <c r="AI60" s="66">
        <f t="shared" si="18"/>
        <v>0</v>
      </c>
      <c r="AJ60" s="66">
        <f t="shared" si="18"/>
        <v>0</v>
      </c>
      <c r="AK60" s="66">
        <f t="shared" si="18"/>
        <v>0</v>
      </c>
      <c r="AL60" s="66">
        <f t="shared" si="18"/>
        <v>0</v>
      </c>
      <c r="AM60" s="66">
        <f t="shared" si="18"/>
        <v>0</v>
      </c>
      <c r="AN60" s="66">
        <f t="shared" si="18"/>
        <v>0</v>
      </c>
      <c r="AO60" s="66">
        <f t="shared" si="18"/>
        <v>0</v>
      </c>
      <c r="AU60" s="48"/>
      <c r="AV60" s="48"/>
      <c r="AW60" s="48"/>
      <c r="AX60" s="48"/>
      <c r="AY60" s="48"/>
    </row>
    <row r="61" spans="1:51">
      <c r="A61" s="2">
        <f t="shared" si="10"/>
        <v>1.3541666666666661</v>
      </c>
      <c r="B61" s="2">
        <f t="shared" si="1"/>
        <v>1.3749999999999993</v>
      </c>
      <c r="C61" s="19"/>
      <c r="D61" s="19"/>
      <c r="E61" s="20"/>
      <c r="F61" s="20"/>
      <c r="G61" s="20"/>
      <c r="H61" s="20"/>
      <c r="I61" s="20"/>
      <c r="J61" s="20"/>
      <c r="K61" s="20"/>
      <c r="L61" s="20"/>
      <c r="O61" s="29">
        <f t="shared" si="22"/>
        <v>0</v>
      </c>
      <c r="P61" s="29">
        <f t="shared" si="22"/>
        <v>0</v>
      </c>
      <c r="Q61" s="29">
        <f t="shared" si="22"/>
        <v>0</v>
      </c>
      <c r="R61" s="30">
        <f t="shared" si="22"/>
        <v>0</v>
      </c>
      <c r="S61" s="30">
        <f t="shared" si="22"/>
        <v>0</v>
      </c>
      <c r="T61" s="30">
        <f t="shared" si="22"/>
        <v>0</v>
      </c>
      <c r="U61" s="30">
        <f t="shared" si="22"/>
        <v>0</v>
      </c>
      <c r="V61" s="30">
        <f t="shared" si="22"/>
        <v>0</v>
      </c>
      <c r="W61" s="30">
        <f t="shared" si="22"/>
        <v>0</v>
      </c>
      <c r="X61" s="30">
        <f t="shared" si="22"/>
        <v>0</v>
      </c>
      <c r="Y61" s="31">
        <f t="shared" si="3"/>
        <v>0</v>
      </c>
      <c r="Z61" s="32">
        <f t="shared" si="4"/>
        <v>0</v>
      </c>
      <c r="AA61" s="32">
        <f t="shared" si="5"/>
        <v>0</v>
      </c>
      <c r="AB61" s="31">
        <f t="shared" si="6"/>
        <v>0</v>
      </c>
      <c r="AC61" s="33">
        <f t="shared" si="7"/>
        <v>0</v>
      </c>
      <c r="AG61" s="66">
        <f t="shared" si="18"/>
        <v>0</v>
      </c>
      <c r="AH61" s="66">
        <f t="shared" si="18"/>
        <v>0</v>
      </c>
      <c r="AI61" s="66">
        <f t="shared" si="18"/>
        <v>0</v>
      </c>
      <c r="AJ61" s="66">
        <f t="shared" si="18"/>
        <v>0</v>
      </c>
      <c r="AK61" s="66">
        <f t="shared" si="18"/>
        <v>0</v>
      </c>
      <c r="AL61" s="66">
        <f t="shared" si="18"/>
        <v>0</v>
      </c>
      <c r="AM61" s="66">
        <f t="shared" si="18"/>
        <v>0</v>
      </c>
      <c r="AN61" s="66">
        <f t="shared" si="18"/>
        <v>0</v>
      </c>
      <c r="AO61" s="66">
        <f t="shared" si="18"/>
        <v>0</v>
      </c>
      <c r="AU61" s="48"/>
      <c r="AV61" s="48"/>
      <c r="AW61" s="48"/>
      <c r="AX61" s="48"/>
      <c r="AY61" s="48"/>
    </row>
    <row r="62" spans="1:51">
      <c r="A62" s="3">
        <f t="shared" si="10"/>
        <v>1.3749999999999993</v>
      </c>
      <c r="B62" s="3">
        <f t="shared" si="1"/>
        <v>1.3958333333333326</v>
      </c>
      <c r="C62" s="21"/>
      <c r="D62" s="21"/>
      <c r="E62" s="22"/>
      <c r="F62" s="22"/>
      <c r="G62" s="22"/>
      <c r="H62" s="22"/>
      <c r="I62" s="22"/>
      <c r="J62" s="22"/>
      <c r="K62" s="22"/>
      <c r="L62" s="22"/>
      <c r="O62" s="34">
        <f t="shared" si="22"/>
        <v>0</v>
      </c>
      <c r="P62" s="34">
        <f t="shared" si="22"/>
        <v>0</v>
      </c>
      <c r="Q62" s="34">
        <f t="shared" si="22"/>
        <v>0</v>
      </c>
      <c r="R62" s="35">
        <f t="shared" si="22"/>
        <v>0</v>
      </c>
      <c r="S62" s="35">
        <f t="shared" si="22"/>
        <v>0</v>
      </c>
      <c r="T62" s="35">
        <f t="shared" si="22"/>
        <v>0</v>
      </c>
      <c r="U62" s="35">
        <f t="shared" si="22"/>
        <v>0</v>
      </c>
      <c r="V62" s="35">
        <f t="shared" si="22"/>
        <v>0</v>
      </c>
      <c r="W62" s="35">
        <f t="shared" si="22"/>
        <v>0</v>
      </c>
      <c r="X62" s="35">
        <f t="shared" si="22"/>
        <v>0</v>
      </c>
      <c r="Y62" s="36">
        <f t="shared" si="3"/>
        <v>0</v>
      </c>
      <c r="Z62" s="37">
        <f t="shared" si="4"/>
        <v>0</v>
      </c>
      <c r="AA62" s="37">
        <f t="shared" si="5"/>
        <v>0</v>
      </c>
      <c r="AB62" s="36">
        <f t="shared" si="6"/>
        <v>0</v>
      </c>
      <c r="AC62" s="38">
        <f t="shared" si="7"/>
        <v>0</v>
      </c>
      <c r="AG62" s="66">
        <f t="shared" si="18"/>
        <v>0</v>
      </c>
      <c r="AH62" s="66">
        <f t="shared" si="18"/>
        <v>0</v>
      </c>
      <c r="AI62" s="66">
        <f t="shared" si="18"/>
        <v>0</v>
      </c>
      <c r="AJ62" s="66">
        <f t="shared" si="18"/>
        <v>0</v>
      </c>
      <c r="AK62" s="66">
        <f t="shared" si="18"/>
        <v>0</v>
      </c>
      <c r="AL62" s="66">
        <f t="shared" si="18"/>
        <v>0</v>
      </c>
      <c r="AM62" s="66">
        <f t="shared" si="18"/>
        <v>0</v>
      </c>
      <c r="AN62" s="66">
        <f t="shared" si="18"/>
        <v>0</v>
      </c>
      <c r="AO62" s="66">
        <f t="shared" si="18"/>
        <v>0</v>
      </c>
      <c r="AQ62" s="49">
        <f t="shared" ref="AQ62:AY62" si="26">SUM(O62:O65)</f>
        <v>0</v>
      </c>
      <c r="AR62" s="49">
        <f t="shared" si="26"/>
        <v>0</v>
      </c>
      <c r="AS62" s="49">
        <f t="shared" si="26"/>
        <v>0</v>
      </c>
      <c r="AT62" s="49">
        <f t="shared" si="26"/>
        <v>0</v>
      </c>
      <c r="AU62" s="49">
        <f t="shared" si="26"/>
        <v>0</v>
      </c>
      <c r="AV62" s="49">
        <f t="shared" si="26"/>
        <v>0</v>
      </c>
      <c r="AW62" s="49">
        <f t="shared" si="26"/>
        <v>0</v>
      </c>
      <c r="AX62" s="49">
        <f t="shared" si="26"/>
        <v>0</v>
      </c>
      <c r="AY62" s="49">
        <f t="shared" si="26"/>
        <v>0</v>
      </c>
    </row>
    <row r="63" spans="1:51">
      <c r="A63" s="1">
        <f t="shared" si="10"/>
        <v>1.3958333333333326</v>
      </c>
      <c r="B63" s="1">
        <f t="shared" si="1"/>
        <v>1.4166666666666659</v>
      </c>
      <c r="C63" s="17"/>
      <c r="D63" s="17"/>
      <c r="E63" s="18"/>
      <c r="F63" s="18"/>
      <c r="G63" s="18"/>
      <c r="H63" s="18"/>
      <c r="I63" s="18"/>
      <c r="J63" s="18"/>
      <c r="K63" s="18"/>
      <c r="L63" s="18"/>
      <c r="O63" s="24">
        <f t="shared" si="22"/>
        <v>0</v>
      </c>
      <c r="P63" s="24">
        <f t="shared" si="22"/>
        <v>0</v>
      </c>
      <c r="Q63" s="24">
        <f t="shared" si="22"/>
        <v>0</v>
      </c>
      <c r="R63" s="25">
        <f t="shared" si="22"/>
        <v>0</v>
      </c>
      <c r="S63" s="25">
        <f t="shared" si="22"/>
        <v>0</v>
      </c>
      <c r="T63" s="25">
        <f t="shared" si="22"/>
        <v>0</v>
      </c>
      <c r="U63" s="25">
        <f t="shared" si="22"/>
        <v>0</v>
      </c>
      <c r="V63" s="25">
        <f t="shared" si="22"/>
        <v>0</v>
      </c>
      <c r="W63" s="25">
        <f t="shared" si="22"/>
        <v>0</v>
      </c>
      <c r="X63" s="25">
        <f t="shared" si="22"/>
        <v>0</v>
      </c>
      <c r="Y63" s="26">
        <f t="shared" si="3"/>
        <v>0</v>
      </c>
      <c r="Z63" s="27">
        <f t="shared" si="4"/>
        <v>0</v>
      </c>
      <c r="AA63" s="27">
        <f t="shared" si="5"/>
        <v>0</v>
      </c>
      <c r="AB63" s="26">
        <f t="shared" si="6"/>
        <v>0</v>
      </c>
      <c r="AC63" s="28">
        <f t="shared" si="7"/>
        <v>0</v>
      </c>
      <c r="AG63" s="66">
        <f t="shared" si="18"/>
        <v>0</v>
      </c>
      <c r="AH63" s="66">
        <f t="shared" si="18"/>
        <v>0</v>
      </c>
      <c r="AI63" s="66">
        <f t="shared" si="18"/>
        <v>0</v>
      </c>
      <c r="AJ63" s="66">
        <f t="shared" si="18"/>
        <v>0</v>
      </c>
      <c r="AK63" s="66">
        <f t="shared" si="18"/>
        <v>0</v>
      </c>
      <c r="AL63" s="66">
        <f t="shared" si="18"/>
        <v>0</v>
      </c>
      <c r="AM63" s="66">
        <f t="shared" si="18"/>
        <v>0</v>
      </c>
      <c r="AN63" s="66">
        <f t="shared" si="18"/>
        <v>0</v>
      </c>
      <c r="AO63" s="66">
        <f t="shared" si="18"/>
        <v>0</v>
      </c>
      <c r="AU63" s="48"/>
      <c r="AV63" s="48"/>
      <c r="AW63" s="48"/>
      <c r="AX63" s="48"/>
      <c r="AY63" s="48"/>
    </row>
    <row r="64" spans="1:51">
      <c r="A64" s="1">
        <f t="shared" si="10"/>
        <v>1.4166666666666659</v>
      </c>
      <c r="B64" s="1">
        <f t="shared" si="1"/>
        <v>1.4374999999999991</v>
      </c>
      <c r="C64" s="17"/>
      <c r="D64" s="17"/>
      <c r="E64" s="18"/>
      <c r="F64" s="18"/>
      <c r="G64" s="18"/>
      <c r="H64" s="18"/>
      <c r="I64" s="18"/>
      <c r="J64" s="18"/>
      <c r="K64" s="18"/>
      <c r="L64" s="18"/>
      <c r="O64" s="24">
        <f t="shared" si="22"/>
        <v>0</v>
      </c>
      <c r="P64" s="24">
        <f t="shared" si="22"/>
        <v>0</v>
      </c>
      <c r="Q64" s="24">
        <f t="shared" si="22"/>
        <v>0</v>
      </c>
      <c r="R64" s="25">
        <f t="shared" si="22"/>
        <v>0</v>
      </c>
      <c r="S64" s="25">
        <f t="shared" si="22"/>
        <v>0</v>
      </c>
      <c r="T64" s="25">
        <f t="shared" si="22"/>
        <v>0</v>
      </c>
      <c r="U64" s="25">
        <f t="shared" si="22"/>
        <v>0</v>
      </c>
      <c r="V64" s="25">
        <f t="shared" si="22"/>
        <v>0</v>
      </c>
      <c r="W64" s="25">
        <f t="shared" si="22"/>
        <v>0</v>
      </c>
      <c r="X64" s="25">
        <f t="shared" si="22"/>
        <v>0</v>
      </c>
      <c r="Y64" s="26">
        <f t="shared" si="3"/>
        <v>0</v>
      </c>
      <c r="Z64" s="27">
        <f t="shared" si="4"/>
        <v>0</v>
      </c>
      <c r="AA64" s="27">
        <f t="shared" si="5"/>
        <v>0</v>
      </c>
      <c r="AB64" s="26">
        <f t="shared" si="6"/>
        <v>0</v>
      </c>
      <c r="AC64" s="28">
        <f t="shared" si="7"/>
        <v>0</v>
      </c>
      <c r="AG64" s="66">
        <f t="shared" si="18"/>
        <v>0</v>
      </c>
      <c r="AH64" s="66">
        <f t="shared" si="18"/>
        <v>0</v>
      </c>
      <c r="AI64" s="66">
        <f t="shared" si="18"/>
        <v>0</v>
      </c>
      <c r="AJ64" s="66">
        <f t="shared" si="18"/>
        <v>0</v>
      </c>
      <c r="AK64" s="66">
        <f t="shared" si="18"/>
        <v>0</v>
      </c>
      <c r="AL64" s="66">
        <f t="shared" si="18"/>
        <v>0</v>
      </c>
      <c r="AM64" s="66">
        <f t="shared" si="18"/>
        <v>0</v>
      </c>
      <c r="AN64" s="66">
        <f t="shared" si="18"/>
        <v>0</v>
      </c>
      <c r="AO64" s="66">
        <f t="shared" si="18"/>
        <v>0</v>
      </c>
      <c r="AU64" s="48"/>
      <c r="AV64" s="48"/>
      <c r="AW64" s="48"/>
      <c r="AX64" s="48"/>
      <c r="AY64" s="48"/>
    </row>
    <row r="65" spans="1:51" ht="15.75" thickBot="1">
      <c r="A65" s="4">
        <f t="shared" si="10"/>
        <v>1.4374999999999991</v>
      </c>
      <c r="B65" s="4">
        <f t="shared" si="1"/>
        <v>1.4583333333333324</v>
      </c>
      <c r="C65" s="19"/>
      <c r="D65" s="19"/>
      <c r="E65" s="20"/>
      <c r="F65" s="20"/>
      <c r="G65" s="20"/>
      <c r="H65" s="20"/>
      <c r="I65" s="20"/>
      <c r="J65" s="20"/>
      <c r="K65" s="20"/>
      <c r="L65" s="20"/>
      <c r="O65" s="39">
        <f t="shared" si="22"/>
        <v>0</v>
      </c>
      <c r="P65" s="39">
        <f t="shared" si="22"/>
        <v>0</v>
      </c>
      <c r="Q65" s="39">
        <f t="shared" si="22"/>
        <v>0</v>
      </c>
      <c r="R65" s="40">
        <f t="shared" si="22"/>
        <v>0</v>
      </c>
      <c r="S65" s="40">
        <f t="shared" si="22"/>
        <v>0</v>
      </c>
      <c r="T65" s="40">
        <f t="shared" si="22"/>
        <v>0</v>
      </c>
      <c r="U65" s="40">
        <f t="shared" si="22"/>
        <v>0</v>
      </c>
      <c r="V65" s="40">
        <f t="shared" si="22"/>
        <v>0</v>
      </c>
      <c r="W65" s="40">
        <f t="shared" si="22"/>
        <v>0</v>
      </c>
      <c r="X65" s="40">
        <f t="shared" si="22"/>
        <v>0</v>
      </c>
      <c r="Y65" s="41">
        <f t="shared" si="3"/>
        <v>0</v>
      </c>
      <c r="Z65" s="42">
        <f t="shared" si="4"/>
        <v>0</v>
      </c>
      <c r="AA65" s="42">
        <f t="shared" si="5"/>
        <v>0</v>
      </c>
      <c r="AB65" s="41">
        <f t="shared" si="6"/>
        <v>0</v>
      </c>
      <c r="AC65" s="43">
        <f t="shared" si="7"/>
        <v>0</v>
      </c>
      <c r="AG65" s="66">
        <f t="shared" si="18"/>
        <v>0</v>
      </c>
      <c r="AH65" s="66">
        <f t="shared" si="18"/>
        <v>0</v>
      </c>
      <c r="AI65" s="66">
        <f t="shared" si="18"/>
        <v>0</v>
      </c>
      <c r="AJ65" s="66">
        <f t="shared" si="18"/>
        <v>0</v>
      </c>
      <c r="AK65" s="66">
        <f t="shared" si="18"/>
        <v>0</v>
      </c>
      <c r="AL65" s="66">
        <f t="shared" si="18"/>
        <v>0</v>
      </c>
      <c r="AM65" s="66">
        <f t="shared" si="18"/>
        <v>0</v>
      </c>
      <c r="AN65" s="66">
        <f t="shared" si="18"/>
        <v>0</v>
      </c>
      <c r="AO65" s="66">
        <f t="shared" si="18"/>
        <v>0</v>
      </c>
      <c r="AU65" s="48"/>
      <c r="AV65" s="48"/>
      <c r="AW65" s="48"/>
      <c r="AX65" s="48"/>
      <c r="AY65" s="48"/>
    </row>
    <row r="66" spans="1:51" s="46" customFormat="1">
      <c r="AD66" s="46" t="s">
        <v>18</v>
      </c>
      <c r="AG66" s="48"/>
      <c r="AH66" s="48"/>
      <c r="AI66" s="48"/>
      <c r="AJ66" s="48"/>
      <c r="AK66" s="48"/>
      <c r="AL66" s="48"/>
      <c r="AM66" s="48"/>
      <c r="AN66" s="48"/>
      <c r="AO66" s="48"/>
    </row>
    <row r="67" spans="1:51" s="46" customFormat="1" ht="18">
      <c r="A67" s="45" t="s">
        <v>11</v>
      </c>
      <c r="AD67" s="70" t="s">
        <v>22</v>
      </c>
      <c r="AG67" s="48"/>
      <c r="AH67" s="48"/>
      <c r="AI67" s="48"/>
      <c r="AJ67" s="48"/>
      <c r="AK67" s="48"/>
      <c r="AL67" s="48"/>
      <c r="AM67" s="48"/>
      <c r="AN67" s="48"/>
      <c r="AO67" s="48"/>
    </row>
    <row r="68" spans="1:51">
      <c r="A68" s="3">
        <v>0.29166666666666674</v>
      </c>
      <c r="B68" s="3">
        <v>0.33333333333333348</v>
      </c>
      <c r="C68" s="21"/>
      <c r="D68" s="21"/>
      <c r="E68" s="22"/>
      <c r="F68" s="22"/>
      <c r="G68" s="22"/>
      <c r="H68" s="22"/>
      <c r="I68" s="22"/>
      <c r="J68" s="22"/>
      <c r="K68" s="22"/>
      <c r="L68" s="22"/>
      <c r="O68" s="34">
        <f>SUM(O10:O11)</f>
        <v>18</v>
      </c>
      <c r="P68" s="34">
        <f t="shared" ref="P68:X68" si="27">SUM(P10:P11)</f>
        <v>87</v>
      </c>
      <c r="Q68" s="34">
        <f t="shared" si="27"/>
        <v>128</v>
      </c>
      <c r="R68" s="35">
        <f t="shared" si="27"/>
        <v>2</v>
      </c>
      <c r="S68" s="35">
        <f t="shared" si="27"/>
        <v>1</v>
      </c>
      <c r="T68" s="35">
        <f t="shared" si="27"/>
        <v>0</v>
      </c>
      <c r="U68" s="35">
        <f t="shared" si="27"/>
        <v>1</v>
      </c>
      <c r="V68" s="35">
        <f t="shared" si="27"/>
        <v>2</v>
      </c>
      <c r="W68" s="35">
        <f t="shared" si="27"/>
        <v>0</v>
      </c>
      <c r="X68" s="35">
        <f t="shared" si="27"/>
        <v>0</v>
      </c>
      <c r="Y68" s="36">
        <f t="shared" ref="Y68:Y82" si="28">O68+Q68+R68</f>
        <v>148</v>
      </c>
      <c r="Z68" s="37">
        <f t="shared" ref="Z68:Z82" si="29">S68+T68+U68+P68</f>
        <v>89</v>
      </c>
      <c r="AA68" s="37">
        <f t="shared" ref="AA68:AA82" si="30">V68+W68</f>
        <v>2</v>
      </c>
      <c r="AB68" s="36">
        <f t="shared" ref="AB68:AB82" si="31">SUM(O68:W68)</f>
        <v>239</v>
      </c>
      <c r="AC68" s="38">
        <f t="shared" ref="AC68:AC82" si="32">SUM(AG68:AO68)</f>
        <v>188.5</v>
      </c>
      <c r="AD68" s="50">
        <f t="shared" ref="AD68:AE83" si="33">AB68/AB$83</f>
        <v>0.13855072463768117</v>
      </c>
      <c r="AE68" s="50">
        <f t="shared" si="33"/>
        <v>0.14461066359800537</v>
      </c>
      <c r="AG68" s="48">
        <f>O68*O$8</f>
        <v>9</v>
      </c>
      <c r="AH68" s="48">
        <f t="shared" ref="AG68:AO82" si="34">P68*P$8</f>
        <v>43.5</v>
      </c>
      <c r="AI68" s="48">
        <f t="shared" si="34"/>
        <v>128</v>
      </c>
      <c r="AJ68" s="48">
        <f t="shared" si="34"/>
        <v>2</v>
      </c>
      <c r="AK68" s="48">
        <f t="shared" si="34"/>
        <v>1</v>
      </c>
      <c r="AL68" s="48">
        <f t="shared" si="34"/>
        <v>0</v>
      </c>
      <c r="AM68" s="48">
        <f t="shared" si="34"/>
        <v>2</v>
      </c>
      <c r="AN68" s="48">
        <f t="shared" si="34"/>
        <v>3</v>
      </c>
      <c r="AO68" s="48">
        <f t="shared" si="34"/>
        <v>0</v>
      </c>
      <c r="AQ68" s="50"/>
    </row>
    <row r="69" spans="1:51">
      <c r="A69" s="3">
        <v>0.33333333333333348</v>
      </c>
      <c r="B69" s="3">
        <v>0.37500000000000022</v>
      </c>
      <c r="C69" s="21"/>
      <c r="D69" s="21"/>
      <c r="E69" s="22"/>
      <c r="F69" s="22"/>
      <c r="G69" s="22"/>
      <c r="H69" s="22"/>
      <c r="I69" s="22"/>
      <c r="J69" s="22"/>
      <c r="K69" s="22"/>
      <c r="L69" s="22"/>
      <c r="O69" s="34">
        <f>SUM(O12:O13)</f>
        <v>15</v>
      </c>
      <c r="P69" s="34">
        <f t="shared" ref="P69:X69" si="35">SUM(P12:P13)</f>
        <v>43</v>
      </c>
      <c r="Q69" s="34">
        <f t="shared" si="35"/>
        <v>120</v>
      </c>
      <c r="R69" s="35">
        <f t="shared" si="35"/>
        <v>0</v>
      </c>
      <c r="S69" s="35">
        <f t="shared" si="35"/>
        <v>0</v>
      </c>
      <c r="T69" s="35">
        <f t="shared" si="35"/>
        <v>0</v>
      </c>
      <c r="U69" s="35">
        <f t="shared" si="35"/>
        <v>0</v>
      </c>
      <c r="V69" s="35">
        <f t="shared" si="35"/>
        <v>2</v>
      </c>
      <c r="W69" s="35">
        <f t="shared" si="35"/>
        <v>0</v>
      </c>
      <c r="X69" s="35">
        <f>SUM(X12:X13)</f>
        <v>0</v>
      </c>
      <c r="Y69" s="36">
        <f t="shared" si="28"/>
        <v>135</v>
      </c>
      <c r="Z69" s="37">
        <f t="shared" si="29"/>
        <v>43</v>
      </c>
      <c r="AA69" s="37">
        <f t="shared" si="30"/>
        <v>2</v>
      </c>
      <c r="AB69" s="36">
        <f t="shared" si="31"/>
        <v>180</v>
      </c>
      <c r="AC69" s="38">
        <f t="shared" si="32"/>
        <v>152</v>
      </c>
      <c r="AD69" s="50">
        <f t="shared" si="33"/>
        <v>0.10434782608695652</v>
      </c>
      <c r="AE69" s="50">
        <f t="shared" si="33"/>
        <v>0.11660912926735711</v>
      </c>
      <c r="AG69" s="48">
        <f t="shared" si="34"/>
        <v>7.5</v>
      </c>
      <c r="AH69" s="48">
        <f t="shared" si="34"/>
        <v>21.5</v>
      </c>
      <c r="AI69" s="48">
        <f t="shared" si="34"/>
        <v>120</v>
      </c>
      <c r="AJ69" s="48">
        <f t="shared" si="34"/>
        <v>0</v>
      </c>
      <c r="AK69" s="48">
        <f t="shared" si="34"/>
        <v>0</v>
      </c>
      <c r="AL69" s="48">
        <f t="shared" si="34"/>
        <v>0</v>
      </c>
      <c r="AM69" s="48">
        <f t="shared" si="34"/>
        <v>0</v>
      </c>
      <c r="AN69" s="48">
        <f t="shared" si="34"/>
        <v>3</v>
      </c>
      <c r="AO69" s="48">
        <f t="shared" si="34"/>
        <v>0</v>
      </c>
      <c r="AQ69" s="50"/>
    </row>
    <row r="70" spans="1:51">
      <c r="A70" s="3">
        <v>0.37500000000000022</v>
      </c>
      <c r="B70" s="3">
        <v>0.41666666666666696</v>
      </c>
      <c r="C70" s="21"/>
      <c r="D70" s="21"/>
      <c r="E70" s="22"/>
      <c r="F70" s="22"/>
      <c r="G70" s="22"/>
      <c r="H70" s="22"/>
      <c r="I70" s="22"/>
      <c r="J70" s="22"/>
      <c r="K70" s="22"/>
      <c r="L70" s="22"/>
      <c r="O70" s="34">
        <f>SUM(O14:O15)</f>
        <v>14</v>
      </c>
      <c r="P70" s="34">
        <f t="shared" ref="P70:X70" si="36">SUM(P14:P15)</f>
        <v>23</v>
      </c>
      <c r="Q70" s="34">
        <f t="shared" si="36"/>
        <v>65</v>
      </c>
      <c r="R70" s="35">
        <f t="shared" si="36"/>
        <v>0</v>
      </c>
      <c r="S70" s="35">
        <f t="shared" si="36"/>
        <v>0</v>
      </c>
      <c r="T70" s="35">
        <f t="shared" si="36"/>
        <v>0</v>
      </c>
      <c r="U70" s="35">
        <f t="shared" si="36"/>
        <v>1</v>
      </c>
      <c r="V70" s="35">
        <f t="shared" si="36"/>
        <v>1</v>
      </c>
      <c r="W70" s="35">
        <f t="shared" si="36"/>
        <v>0</v>
      </c>
      <c r="X70" s="35">
        <f t="shared" si="36"/>
        <v>0</v>
      </c>
      <c r="Y70" s="36">
        <f t="shared" si="28"/>
        <v>79</v>
      </c>
      <c r="Z70" s="37">
        <f t="shared" si="29"/>
        <v>24</v>
      </c>
      <c r="AA70" s="37">
        <f t="shared" si="30"/>
        <v>1</v>
      </c>
      <c r="AB70" s="36">
        <f t="shared" si="31"/>
        <v>104</v>
      </c>
      <c r="AC70" s="38">
        <f t="shared" si="32"/>
        <v>87</v>
      </c>
      <c r="AD70" s="50">
        <f t="shared" si="33"/>
        <v>6.0289855072463767E-2</v>
      </c>
      <c r="AE70" s="50">
        <f t="shared" si="33"/>
        <v>6.6743383199079395E-2</v>
      </c>
      <c r="AG70" s="48">
        <f t="shared" si="34"/>
        <v>7</v>
      </c>
      <c r="AH70" s="48">
        <f t="shared" si="34"/>
        <v>11.5</v>
      </c>
      <c r="AI70" s="48">
        <f t="shared" si="34"/>
        <v>65</v>
      </c>
      <c r="AJ70" s="48">
        <f t="shared" si="34"/>
        <v>0</v>
      </c>
      <c r="AK70" s="48">
        <f t="shared" si="34"/>
        <v>0</v>
      </c>
      <c r="AL70" s="48">
        <f t="shared" si="34"/>
        <v>0</v>
      </c>
      <c r="AM70" s="48">
        <f t="shared" si="34"/>
        <v>2</v>
      </c>
      <c r="AN70" s="48">
        <f t="shared" si="34"/>
        <v>1.5</v>
      </c>
      <c r="AO70" s="48">
        <f t="shared" si="34"/>
        <v>0</v>
      </c>
      <c r="AQ70" s="50"/>
    </row>
    <row r="71" spans="1:51">
      <c r="A71" s="3">
        <v>0.41666666666666696</v>
      </c>
      <c r="B71" s="3">
        <v>0.4583333333333337</v>
      </c>
      <c r="C71" s="21"/>
      <c r="D71" s="21"/>
      <c r="E71" s="22"/>
      <c r="F71" s="22"/>
      <c r="G71" s="22"/>
      <c r="H71" s="22"/>
      <c r="I71" s="22"/>
      <c r="J71" s="22"/>
      <c r="K71" s="22"/>
      <c r="L71" s="22"/>
      <c r="O71" s="34">
        <f>SUM(O16:O17)</f>
        <v>15</v>
      </c>
      <c r="P71" s="34">
        <f t="shared" ref="P71:X71" si="37">SUM(P16:P17)</f>
        <v>48</v>
      </c>
      <c r="Q71" s="34">
        <f t="shared" si="37"/>
        <v>51</v>
      </c>
      <c r="R71" s="35">
        <f t="shared" si="37"/>
        <v>0</v>
      </c>
      <c r="S71" s="35">
        <f t="shared" si="37"/>
        <v>0</v>
      </c>
      <c r="T71" s="35">
        <f t="shared" si="37"/>
        <v>0</v>
      </c>
      <c r="U71" s="35">
        <f t="shared" si="37"/>
        <v>2</v>
      </c>
      <c r="V71" s="35">
        <f t="shared" si="37"/>
        <v>2</v>
      </c>
      <c r="W71" s="35">
        <f t="shared" si="37"/>
        <v>0</v>
      </c>
      <c r="X71" s="35">
        <f t="shared" si="37"/>
        <v>0</v>
      </c>
      <c r="Y71" s="36">
        <f t="shared" si="28"/>
        <v>66</v>
      </c>
      <c r="Z71" s="37">
        <f t="shared" si="29"/>
        <v>50</v>
      </c>
      <c r="AA71" s="37">
        <f t="shared" si="30"/>
        <v>2</v>
      </c>
      <c r="AB71" s="36">
        <f t="shared" si="31"/>
        <v>118</v>
      </c>
      <c r="AC71" s="38">
        <f t="shared" si="32"/>
        <v>89.5</v>
      </c>
      <c r="AD71" s="50">
        <f t="shared" si="33"/>
        <v>6.840579710144927E-2</v>
      </c>
      <c r="AE71" s="50">
        <f t="shared" si="33"/>
        <v>6.8661296509397771E-2</v>
      </c>
      <c r="AG71" s="48">
        <f t="shared" si="34"/>
        <v>7.5</v>
      </c>
      <c r="AH71" s="48">
        <f t="shared" si="34"/>
        <v>24</v>
      </c>
      <c r="AI71" s="48">
        <f t="shared" si="34"/>
        <v>51</v>
      </c>
      <c r="AJ71" s="48">
        <f t="shared" si="34"/>
        <v>0</v>
      </c>
      <c r="AK71" s="48">
        <f t="shared" si="34"/>
        <v>0</v>
      </c>
      <c r="AL71" s="48">
        <f t="shared" si="34"/>
        <v>0</v>
      </c>
      <c r="AM71" s="48">
        <f t="shared" si="34"/>
        <v>4</v>
      </c>
      <c r="AN71" s="48">
        <f t="shared" si="34"/>
        <v>3</v>
      </c>
      <c r="AO71" s="48">
        <f t="shared" si="34"/>
        <v>0</v>
      </c>
      <c r="AQ71" s="50"/>
    </row>
    <row r="72" spans="1:51">
      <c r="A72" s="3">
        <v>0.4583333333333337</v>
      </c>
      <c r="B72" s="3">
        <v>0.50000000000000044</v>
      </c>
      <c r="C72" s="21"/>
      <c r="D72" s="21"/>
      <c r="E72" s="22"/>
      <c r="F72" s="22"/>
      <c r="G72" s="22"/>
      <c r="H72" s="22"/>
      <c r="I72" s="22"/>
      <c r="J72" s="22"/>
      <c r="K72" s="22"/>
      <c r="L72" s="22"/>
      <c r="O72" s="34">
        <f>SUM(O18:O19)</f>
        <v>13</v>
      </c>
      <c r="P72" s="34">
        <f t="shared" ref="P72:X72" si="38">SUM(P18:P19)</f>
        <v>78</v>
      </c>
      <c r="Q72" s="34">
        <f t="shared" si="38"/>
        <v>56</v>
      </c>
      <c r="R72" s="35">
        <f t="shared" si="38"/>
        <v>0</v>
      </c>
      <c r="S72" s="35">
        <f t="shared" si="38"/>
        <v>0</v>
      </c>
      <c r="T72" s="35">
        <f t="shared" si="38"/>
        <v>0</v>
      </c>
      <c r="U72" s="35">
        <f t="shared" si="38"/>
        <v>2</v>
      </c>
      <c r="V72" s="35">
        <f t="shared" si="38"/>
        <v>1</v>
      </c>
      <c r="W72" s="35">
        <f t="shared" si="38"/>
        <v>0</v>
      </c>
      <c r="X72" s="35">
        <f t="shared" si="38"/>
        <v>0</v>
      </c>
      <c r="Y72" s="36">
        <f t="shared" si="28"/>
        <v>69</v>
      </c>
      <c r="Z72" s="37">
        <f t="shared" si="29"/>
        <v>80</v>
      </c>
      <c r="AA72" s="37">
        <f t="shared" si="30"/>
        <v>1</v>
      </c>
      <c r="AB72" s="36">
        <f t="shared" si="31"/>
        <v>150</v>
      </c>
      <c r="AC72" s="38">
        <f t="shared" si="32"/>
        <v>107</v>
      </c>
      <c r="AD72" s="50">
        <f t="shared" si="33"/>
        <v>8.6956521739130432E-2</v>
      </c>
      <c r="AE72" s="50">
        <f t="shared" si="33"/>
        <v>8.2086689681626385E-2</v>
      </c>
      <c r="AG72" s="48">
        <f t="shared" si="34"/>
        <v>6.5</v>
      </c>
      <c r="AH72" s="48">
        <f t="shared" si="34"/>
        <v>39</v>
      </c>
      <c r="AI72" s="48">
        <f t="shared" si="34"/>
        <v>56</v>
      </c>
      <c r="AJ72" s="48">
        <f t="shared" si="34"/>
        <v>0</v>
      </c>
      <c r="AK72" s="48">
        <f t="shared" si="34"/>
        <v>0</v>
      </c>
      <c r="AL72" s="48">
        <f t="shared" si="34"/>
        <v>0</v>
      </c>
      <c r="AM72" s="48">
        <f t="shared" si="34"/>
        <v>4</v>
      </c>
      <c r="AN72" s="48">
        <f t="shared" si="34"/>
        <v>1.5</v>
      </c>
      <c r="AO72" s="48">
        <f t="shared" si="34"/>
        <v>0</v>
      </c>
      <c r="AQ72" s="50"/>
    </row>
    <row r="73" spans="1:51">
      <c r="A73" s="3">
        <v>0.50000000000000044</v>
      </c>
      <c r="B73" s="3">
        <v>0.54166666666666696</v>
      </c>
      <c r="C73" s="21"/>
      <c r="D73" s="21"/>
      <c r="E73" s="22"/>
      <c r="F73" s="22"/>
      <c r="G73" s="22"/>
      <c r="H73" s="22"/>
      <c r="I73" s="22"/>
      <c r="J73" s="22"/>
      <c r="K73" s="22"/>
      <c r="L73" s="22"/>
      <c r="O73" s="34">
        <f>SUM(O20:O21)</f>
        <v>12</v>
      </c>
      <c r="P73" s="34">
        <f t="shared" ref="P73:X73" si="39">SUM(P20:P21)</f>
        <v>37</v>
      </c>
      <c r="Q73" s="34">
        <f t="shared" si="39"/>
        <v>82</v>
      </c>
      <c r="R73" s="35">
        <f t="shared" si="39"/>
        <v>0</v>
      </c>
      <c r="S73" s="35">
        <f t="shared" si="39"/>
        <v>0</v>
      </c>
      <c r="T73" s="35">
        <f t="shared" si="39"/>
        <v>0</v>
      </c>
      <c r="U73" s="35">
        <f t="shared" si="39"/>
        <v>0</v>
      </c>
      <c r="V73" s="35">
        <f t="shared" si="39"/>
        <v>1</v>
      </c>
      <c r="W73" s="35">
        <f t="shared" si="39"/>
        <v>1</v>
      </c>
      <c r="X73" s="35">
        <f t="shared" si="39"/>
        <v>0</v>
      </c>
      <c r="Y73" s="36">
        <f t="shared" si="28"/>
        <v>94</v>
      </c>
      <c r="Z73" s="37">
        <f t="shared" si="29"/>
        <v>37</v>
      </c>
      <c r="AA73" s="37">
        <f t="shared" si="30"/>
        <v>2</v>
      </c>
      <c r="AB73" s="36">
        <f t="shared" si="31"/>
        <v>133</v>
      </c>
      <c r="AC73" s="38">
        <f t="shared" si="32"/>
        <v>110.5</v>
      </c>
      <c r="AD73" s="50">
        <f t="shared" si="33"/>
        <v>7.7101449275362319E-2</v>
      </c>
      <c r="AE73" s="50">
        <f t="shared" si="33"/>
        <v>8.477176831607211E-2</v>
      </c>
      <c r="AG73" s="48">
        <f t="shared" si="34"/>
        <v>6</v>
      </c>
      <c r="AH73" s="48">
        <f t="shared" si="34"/>
        <v>18.5</v>
      </c>
      <c r="AI73" s="48">
        <f t="shared" si="34"/>
        <v>82</v>
      </c>
      <c r="AJ73" s="48">
        <f t="shared" si="34"/>
        <v>0</v>
      </c>
      <c r="AK73" s="48">
        <f t="shared" si="34"/>
        <v>0</v>
      </c>
      <c r="AL73" s="48">
        <f t="shared" si="34"/>
        <v>0</v>
      </c>
      <c r="AM73" s="48">
        <f t="shared" si="34"/>
        <v>0</v>
      </c>
      <c r="AN73" s="48">
        <f t="shared" si="34"/>
        <v>1.5</v>
      </c>
      <c r="AO73" s="48">
        <f t="shared" si="34"/>
        <v>2.5</v>
      </c>
      <c r="AQ73" s="50"/>
    </row>
    <row r="74" spans="1:51">
      <c r="A74" s="3">
        <v>0.54166666666666696</v>
      </c>
      <c r="B74" s="3">
        <v>0.58333333333333348</v>
      </c>
      <c r="C74" s="21"/>
      <c r="D74" s="21"/>
      <c r="E74" s="22"/>
      <c r="F74" s="22"/>
      <c r="G74" s="22"/>
      <c r="H74" s="22"/>
      <c r="I74" s="22"/>
      <c r="J74" s="22"/>
      <c r="K74" s="22"/>
      <c r="L74" s="22"/>
      <c r="O74" s="34">
        <f>SUM(O22:O23)</f>
        <v>8</v>
      </c>
      <c r="P74" s="34">
        <f t="shared" ref="P74:X74" si="40">SUM(P22:P23)</f>
        <v>37</v>
      </c>
      <c r="Q74" s="34">
        <f>SUM(Q22:Q23)</f>
        <v>56</v>
      </c>
      <c r="R74" s="35">
        <f t="shared" si="40"/>
        <v>1</v>
      </c>
      <c r="S74" s="35">
        <f t="shared" si="40"/>
        <v>0</v>
      </c>
      <c r="T74" s="35">
        <f t="shared" si="40"/>
        <v>0</v>
      </c>
      <c r="U74" s="35">
        <f t="shared" si="40"/>
        <v>1</v>
      </c>
      <c r="V74" s="35">
        <f t="shared" si="40"/>
        <v>0</v>
      </c>
      <c r="W74" s="35">
        <f t="shared" si="40"/>
        <v>0</v>
      </c>
      <c r="X74" s="35">
        <f t="shared" si="40"/>
        <v>0</v>
      </c>
      <c r="Y74" s="36">
        <f t="shared" si="28"/>
        <v>65</v>
      </c>
      <c r="Z74" s="37">
        <f t="shared" si="29"/>
        <v>38</v>
      </c>
      <c r="AA74" s="37">
        <f t="shared" si="30"/>
        <v>0</v>
      </c>
      <c r="AB74" s="36">
        <f t="shared" si="31"/>
        <v>103</v>
      </c>
      <c r="AC74" s="38">
        <f t="shared" si="32"/>
        <v>81.5</v>
      </c>
      <c r="AD74" s="50">
        <f t="shared" si="33"/>
        <v>5.9710144927536235E-2</v>
      </c>
      <c r="AE74" s="50">
        <f t="shared" si="33"/>
        <v>6.2523973916378983E-2</v>
      </c>
      <c r="AG74" s="48">
        <f t="shared" si="34"/>
        <v>4</v>
      </c>
      <c r="AH74" s="48">
        <f t="shared" si="34"/>
        <v>18.5</v>
      </c>
      <c r="AI74" s="48">
        <f t="shared" si="34"/>
        <v>56</v>
      </c>
      <c r="AJ74" s="48">
        <f t="shared" si="34"/>
        <v>1</v>
      </c>
      <c r="AK74" s="48">
        <f t="shared" si="34"/>
        <v>0</v>
      </c>
      <c r="AL74" s="48">
        <f t="shared" si="34"/>
        <v>0</v>
      </c>
      <c r="AM74" s="48">
        <f t="shared" si="34"/>
        <v>2</v>
      </c>
      <c r="AN74" s="48">
        <f t="shared" si="34"/>
        <v>0</v>
      </c>
      <c r="AO74" s="48">
        <f t="shared" si="34"/>
        <v>0</v>
      </c>
      <c r="AQ74" s="50"/>
    </row>
    <row r="75" spans="1:51">
      <c r="A75" s="3">
        <v>0.58333333333333348</v>
      </c>
      <c r="B75" s="3">
        <v>0.625</v>
      </c>
      <c r="C75" s="21"/>
      <c r="D75" s="21"/>
      <c r="E75" s="22"/>
      <c r="F75" s="22"/>
      <c r="G75" s="22"/>
      <c r="H75" s="22"/>
      <c r="I75" s="22"/>
      <c r="J75" s="22"/>
      <c r="K75" s="22"/>
      <c r="L75" s="22"/>
      <c r="O75" s="34">
        <f>SUM(O24:O25)</f>
        <v>16</v>
      </c>
      <c r="P75" s="34">
        <f t="shared" ref="P75:X75" si="41">SUM(P24:P25)</f>
        <v>35</v>
      </c>
      <c r="Q75" s="34">
        <f t="shared" si="41"/>
        <v>68</v>
      </c>
      <c r="R75" s="35">
        <f t="shared" si="41"/>
        <v>0</v>
      </c>
      <c r="S75" s="35">
        <f t="shared" si="41"/>
        <v>0</v>
      </c>
      <c r="T75" s="35">
        <f t="shared" si="41"/>
        <v>0</v>
      </c>
      <c r="U75" s="35">
        <f t="shared" si="41"/>
        <v>2</v>
      </c>
      <c r="V75" s="35">
        <f t="shared" si="41"/>
        <v>2</v>
      </c>
      <c r="W75" s="35">
        <f t="shared" si="41"/>
        <v>0</v>
      </c>
      <c r="X75" s="35">
        <f t="shared" si="41"/>
        <v>0</v>
      </c>
      <c r="Y75" s="36">
        <f t="shared" si="28"/>
        <v>84</v>
      </c>
      <c r="Z75" s="37">
        <f t="shared" si="29"/>
        <v>37</v>
      </c>
      <c r="AA75" s="37">
        <f t="shared" si="30"/>
        <v>2</v>
      </c>
      <c r="AB75" s="36">
        <f t="shared" si="31"/>
        <v>123</v>
      </c>
      <c r="AC75" s="38">
        <f t="shared" si="32"/>
        <v>100.5</v>
      </c>
      <c r="AD75" s="50">
        <f t="shared" si="33"/>
        <v>7.1304347826086953E-2</v>
      </c>
      <c r="AE75" s="50">
        <f t="shared" si="33"/>
        <v>7.7100115074798622E-2</v>
      </c>
      <c r="AG75" s="48">
        <f t="shared" si="34"/>
        <v>8</v>
      </c>
      <c r="AH75" s="48">
        <f t="shared" si="34"/>
        <v>17.5</v>
      </c>
      <c r="AI75" s="48">
        <f t="shared" si="34"/>
        <v>68</v>
      </c>
      <c r="AJ75" s="48">
        <f t="shared" si="34"/>
        <v>0</v>
      </c>
      <c r="AK75" s="48">
        <f t="shared" si="34"/>
        <v>0</v>
      </c>
      <c r="AL75" s="48">
        <f t="shared" si="34"/>
        <v>0</v>
      </c>
      <c r="AM75" s="48">
        <f t="shared" si="34"/>
        <v>4</v>
      </c>
      <c r="AN75" s="48">
        <f t="shared" si="34"/>
        <v>3</v>
      </c>
      <c r="AO75" s="48">
        <f t="shared" si="34"/>
        <v>0</v>
      </c>
      <c r="AQ75" s="50"/>
    </row>
    <row r="76" spans="1:51" s="48" customFormat="1">
      <c r="A76" s="3">
        <v>0.625</v>
      </c>
      <c r="B76" s="3">
        <v>0.66666666666666652</v>
      </c>
      <c r="C76" s="21"/>
      <c r="D76" s="21"/>
      <c r="E76" s="22"/>
      <c r="F76" s="22"/>
      <c r="G76" s="22"/>
      <c r="H76" s="22"/>
      <c r="I76" s="22"/>
      <c r="J76" s="22"/>
      <c r="K76" s="22"/>
      <c r="L76" s="22"/>
      <c r="O76" s="34">
        <f>SUM(O26:O27)</f>
        <v>6</v>
      </c>
      <c r="P76" s="34">
        <f t="shared" ref="P76:X76" si="42">SUM(P26:P27)</f>
        <v>42</v>
      </c>
      <c r="Q76" s="34">
        <f t="shared" si="42"/>
        <v>55</v>
      </c>
      <c r="R76" s="35">
        <f t="shared" si="42"/>
        <v>0</v>
      </c>
      <c r="S76" s="35">
        <f t="shared" si="42"/>
        <v>0</v>
      </c>
      <c r="T76" s="35">
        <f t="shared" si="42"/>
        <v>0</v>
      </c>
      <c r="U76" s="35">
        <f t="shared" si="42"/>
        <v>0</v>
      </c>
      <c r="V76" s="35">
        <f t="shared" si="42"/>
        <v>1</v>
      </c>
      <c r="W76" s="35">
        <f t="shared" si="42"/>
        <v>0</v>
      </c>
      <c r="X76" s="35">
        <f t="shared" si="42"/>
        <v>0</v>
      </c>
      <c r="Y76" s="36">
        <f t="shared" si="28"/>
        <v>61</v>
      </c>
      <c r="Z76" s="37">
        <f t="shared" si="29"/>
        <v>42</v>
      </c>
      <c r="AA76" s="37">
        <f t="shared" si="30"/>
        <v>1</v>
      </c>
      <c r="AB76" s="36">
        <f t="shared" si="31"/>
        <v>104</v>
      </c>
      <c r="AC76" s="38">
        <f t="shared" si="32"/>
        <v>80.5</v>
      </c>
      <c r="AD76" s="50">
        <f t="shared" si="33"/>
        <v>6.0289855072463767E-2</v>
      </c>
      <c r="AE76" s="50">
        <f t="shared" si="33"/>
        <v>6.1756808592251633E-2</v>
      </c>
      <c r="AG76" s="48">
        <f t="shared" si="34"/>
        <v>3</v>
      </c>
      <c r="AH76" s="48">
        <f t="shared" si="34"/>
        <v>21</v>
      </c>
      <c r="AI76" s="48">
        <f t="shared" si="34"/>
        <v>55</v>
      </c>
      <c r="AJ76" s="48">
        <f t="shared" si="34"/>
        <v>0</v>
      </c>
      <c r="AK76" s="48">
        <f t="shared" si="34"/>
        <v>0</v>
      </c>
      <c r="AL76" s="48">
        <f t="shared" si="34"/>
        <v>0</v>
      </c>
      <c r="AM76" s="48">
        <f t="shared" si="34"/>
        <v>0</v>
      </c>
      <c r="AN76" s="48">
        <f t="shared" si="34"/>
        <v>1.5</v>
      </c>
      <c r="AO76" s="48">
        <f t="shared" si="34"/>
        <v>0</v>
      </c>
      <c r="AQ76" s="50"/>
      <c r="AU76" s="5"/>
      <c r="AV76" s="5"/>
      <c r="AW76" s="5"/>
      <c r="AX76" s="5"/>
      <c r="AY76" s="5"/>
    </row>
    <row r="77" spans="1:51" s="48" customFormat="1">
      <c r="A77" s="3">
        <v>0.66666666666666652</v>
      </c>
      <c r="B77" s="3">
        <v>0.70833333333333304</v>
      </c>
      <c r="C77" s="21"/>
      <c r="D77" s="21"/>
      <c r="E77" s="22"/>
      <c r="F77" s="22"/>
      <c r="G77" s="22"/>
      <c r="H77" s="22"/>
      <c r="I77" s="22"/>
      <c r="J77" s="22"/>
      <c r="K77" s="22"/>
      <c r="L77" s="22"/>
      <c r="O77" s="34">
        <f>SUM(O28:O29)</f>
        <v>21</v>
      </c>
      <c r="P77" s="34">
        <f t="shared" ref="P77:X77" si="43">SUM(P28:P29)</f>
        <v>48</v>
      </c>
      <c r="Q77" s="34">
        <f t="shared" si="43"/>
        <v>48</v>
      </c>
      <c r="R77" s="35">
        <f t="shared" si="43"/>
        <v>0</v>
      </c>
      <c r="S77" s="35">
        <f t="shared" si="43"/>
        <v>0</v>
      </c>
      <c r="T77" s="35">
        <f t="shared" si="43"/>
        <v>0</v>
      </c>
      <c r="U77" s="35">
        <f t="shared" si="43"/>
        <v>0</v>
      </c>
      <c r="V77" s="35">
        <f t="shared" si="43"/>
        <v>1</v>
      </c>
      <c r="W77" s="35">
        <f t="shared" si="43"/>
        <v>1</v>
      </c>
      <c r="X77" s="35">
        <f t="shared" si="43"/>
        <v>0</v>
      </c>
      <c r="Y77" s="36">
        <f t="shared" si="28"/>
        <v>69</v>
      </c>
      <c r="Z77" s="37">
        <f t="shared" si="29"/>
        <v>48</v>
      </c>
      <c r="AA77" s="37">
        <f t="shared" si="30"/>
        <v>2</v>
      </c>
      <c r="AB77" s="36">
        <f t="shared" si="31"/>
        <v>119</v>
      </c>
      <c r="AC77" s="38">
        <f t="shared" si="32"/>
        <v>86.5</v>
      </c>
      <c r="AD77" s="50">
        <f t="shared" si="33"/>
        <v>6.8985507246376809E-2</v>
      </c>
      <c r="AE77" s="50">
        <f t="shared" si="33"/>
        <v>6.635980053701572E-2</v>
      </c>
      <c r="AG77" s="48">
        <f t="shared" si="34"/>
        <v>10.5</v>
      </c>
      <c r="AH77" s="48">
        <f t="shared" si="34"/>
        <v>24</v>
      </c>
      <c r="AI77" s="48">
        <f t="shared" si="34"/>
        <v>48</v>
      </c>
      <c r="AJ77" s="48">
        <f t="shared" si="34"/>
        <v>0</v>
      </c>
      <c r="AK77" s="48">
        <f t="shared" si="34"/>
        <v>0</v>
      </c>
      <c r="AL77" s="48">
        <f t="shared" si="34"/>
        <v>0</v>
      </c>
      <c r="AM77" s="48">
        <f t="shared" si="34"/>
        <v>0</v>
      </c>
      <c r="AN77" s="48">
        <f t="shared" si="34"/>
        <v>1.5</v>
      </c>
      <c r="AO77" s="48">
        <f t="shared" si="34"/>
        <v>2.5</v>
      </c>
      <c r="AQ77" s="50"/>
      <c r="AU77" s="5"/>
      <c r="AV77" s="5"/>
      <c r="AW77" s="5"/>
      <c r="AX77" s="5"/>
      <c r="AY77" s="5"/>
    </row>
    <row r="78" spans="1:51" s="48" customFormat="1">
      <c r="A78" s="3">
        <v>0.70833333333333304</v>
      </c>
      <c r="B78" s="3">
        <v>0.74999999999999956</v>
      </c>
      <c r="C78" s="21"/>
      <c r="D78" s="21"/>
      <c r="E78" s="22"/>
      <c r="F78" s="22"/>
      <c r="G78" s="22"/>
      <c r="H78" s="22"/>
      <c r="I78" s="22"/>
      <c r="J78" s="22"/>
      <c r="K78" s="22"/>
      <c r="L78" s="22"/>
      <c r="O78" s="34">
        <f>SUM(O30:O31)</f>
        <v>21</v>
      </c>
      <c r="P78" s="34">
        <f t="shared" ref="P78:X78" si="44">SUM(P30:P31)</f>
        <v>86</v>
      </c>
      <c r="Q78" s="34">
        <f t="shared" si="44"/>
        <v>29</v>
      </c>
      <c r="R78" s="35">
        <f t="shared" si="44"/>
        <v>0</v>
      </c>
      <c r="S78" s="35">
        <f t="shared" si="44"/>
        <v>0</v>
      </c>
      <c r="T78" s="35">
        <f t="shared" si="44"/>
        <v>0</v>
      </c>
      <c r="U78" s="35">
        <f t="shared" si="44"/>
        <v>0</v>
      </c>
      <c r="V78" s="35">
        <f t="shared" si="44"/>
        <v>0</v>
      </c>
      <c r="W78" s="35">
        <f t="shared" si="44"/>
        <v>0</v>
      </c>
      <c r="X78" s="35">
        <f t="shared" si="44"/>
        <v>0</v>
      </c>
      <c r="Y78" s="36">
        <f t="shared" si="28"/>
        <v>50</v>
      </c>
      <c r="Z78" s="37">
        <f t="shared" si="29"/>
        <v>86</v>
      </c>
      <c r="AA78" s="37">
        <f t="shared" si="30"/>
        <v>0</v>
      </c>
      <c r="AB78" s="36">
        <f t="shared" si="31"/>
        <v>136</v>
      </c>
      <c r="AC78" s="38">
        <f t="shared" si="32"/>
        <v>82.5</v>
      </c>
      <c r="AD78" s="50">
        <f t="shared" si="33"/>
        <v>7.8840579710144923E-2</v>
      </c>
      <c r="AE78" s="50">
        <f t="shared" si="33"/>
        <v>6.3291139240506333E-2</v>
      </c>
      <c r="AG78" s="48">
        <f t="shared" si="34"/>
        <v>10.5</v>
      </c>
      <c r="AH78" s="48">
        <f t="shared" si="34"/>
        <v>43</v>
      </c>
      <c r="AI78" s="48">
        <f t="shared" si="34"/>
        <v>29</v>
      </c>
      <c r="AJ78" s="48">
        <f t="shared" si="34"/>
        <v>0</v>
      </c>
      <c r="AK78" s="48">
        <f t="shared" si="34"/>
        <v>0</v>
      </c>
      <c r="AL78" s="48">
        <f t="shared" si="34"/>
        <v>0</v>
      </c>
      <c r="AM78" s="48">
        <f t="shared" si="34"/>
        <v>0</v>
      </c>
      <c r="AN78" s="48">
        <f t="shared" si="34"/>
        <v>0</v>
      </c>
      <c r="AO78" s="48">
        <f t="shared" si="34"/>
        <v>0</v>
      </c>
      <c r="AQ78" s="50"/>
      <c r="AU78" s="5"/>
      <c r="AV78" s="5"/>
      <c r="AW78" s="5"/>
      <c r="AX78" s="5"/>
      <c r="AY78" s="5"/>
    </row>
    <row r="79" spans="1:51" s="48" customFormat="1">
      <c r="A79" s="3">
        <v>0.74999999999999956</v>
      </c>
      <c r="B79" s="3">
        <v>0.79166666666666607</v>
      </c>
      <c r="C79" s="21"/>
      <c r="D79" s="21"/>
      <c r="E79" s="22"/>
      <c r="F79" s="22"/>
      <c r="G79" s="22"/>
      <c r="H79" s="22"/>
      <c r="I79" s="22"/>
      <c r="J79" s="22"/>
      <c r="K79" s="22"/>
      <c r="L79" s="22"/>
      <c r="O79" s="34">
        <f>SUM(O32:O33)</f>
        <v>8</v>
      </c>
      <c r="P79" s="34">
        <f t="shared" ref="P79:X79" si="45">SUM(P32:P33)</f>
        <v>78</v>
      </c>
      <c r="Q79" s="34">
        <f t="shared" si="45"/>
        <v>22</v>
      </c>
      <c r="R79" s="35">
        <f t="shared" si="45"/>
        <v>2</v>
      </c>
      <c r="S79" s="35">
        <f t="shared" si="45"/>
        <v>0</v>
      </c>
      <c r="T79" s="35">
        <f t="shared" si="45"/>
        <v>0</v>
      </c>
      <c r="U79" s="35">
        <f t="shared" si="45"/>
        <v>1</v>
      </c>
      <c r="V79" s="35">
        <f t="shared" si="45"/>
        <v>0</v>
      </c>
      <c r="W79" s="35">
        <f t="shared" si="45"/>
        <v>0</v>
      </c>
      <c r="X79" s="35">
        <f t="shared" si="45"/>
        <v>0</v>
      </c>
      <c r="Y79" s="36">
        <f t="shared" si="28"/>
        <v>32</v>
      </c>
      <c r="Z79" s="37">
        <f t="shared" si="29"/>
        <v>79</v>
      </c>
      <c r="AA79" s="37">
        <f t="shared" si="30"/>
        <v>0</v>
      </c>
      <c r="AB79" s="36">
        <f t="shared" si="31"/>
        <v>111</v>
      </c>
      <c r="AC79" s="38">
        <f t="shared" si="32"/>
        <v>69</v>
      </c>
      <c r="AD79" s="50">
        <f t="shared" si="33"/>
        <v>6.4347826086956522E-2</v>
      </c>
      <c r="AE79" s="50">
        <f t="shared" si="33"/>
        <v>5.2934407364787113E-2</v>
      </c>
      <c r="AG79" s="48">
        <f t="shared" si="34"/>
        <v>4</v>
      </c>
      <c r="AH79" s="48">
        <f t="shared" si="34"/>
        <v>39</v>
      </c>
      <c r="AI79" s="48">
        <f t="shared" si="34"/>
        <v>22</v>
      </c>
      <c r="AJ79" s="48">
        <f t="shared" si="34"/>
        <v>2</v>
      </c>
      <c r="AK79" s="48">
        <f t="shared" si="34"/>
        <v>0</v>
      </c>
      <c r="AL79" s="48">
        <f t="shared" si="34"/>
        <v>0</v>
      </c>
      <c r="AM79" s="48">
        <f t="shared" si="34"/>
        <v>2</v>
      </c>
      <c r="AN79" s="48">
        <f t="shared" si="34"/>
        <v>0</v>
      </c>
      <c r="AO79" s="48">
        <f t="shared" si="34"/>
        <v>0</v>
      </c>
      <c r="AQ79" s="50"/>
      <c r="AU79" s="5"/>
      <c r="AV79" s="5"/>
      <c r="AW79" s="5"/>
      <c r="AX79" s="5"/>
      <c r="AY79" s="5"/>
    </row>
    <row r="80" spans="1:51" s="48" customFormat="1">
      <c r="A80" s="3">
        <v>0.79166666666666607</v>
      </c>
      <c r="B80" s="3">
        <v>0.83333333333333259</v>
      </c>
      <c r="C80" s="21"/>
      <c r="D80" s="21"/>
      <c r="E80" s="22"/>
      <c r="F80" s="22"/>
      <c r="G80" s="22"/>
      <c r="H80" s="22"/>
      <c r="I80" s="22"/>
      <c r="J80" s="22"/>
      <c r="K80" s="22"/>
      <c r="L80" s="22"/>
      <c r="O80" s="34">
        <f>SUM(O34:O35)</f>
        <v>10</v>
      </c>
      <c r="P80" s="34">
        <f t="shared" ref="P80:X80" si="46">SUM(P34:P35)</f>
        <v>43</v>
      </c>
      <c r="Q80" s="34">
        <f t="shared" si="46"/>
        <v>17</v>
      </c>
      <c r="R80" s="35">
        <f t="shared" si="46"/>
        <v>0</v>
      </c>
      <c r="S80" s="35">
        <f t="shared" si="46"/>
        <v>0</v>
      </c>
      <c r="T80" s="35">
        <f t="shared" si="46"/>
        <v>0</v>
      </c>
      <c r="U80" s="35">
        <f t="shared" si="46"/>
        <v>0</v>
      </c>
      <c r="V80" s="35">
        <f t="shared" si="46"/>
        <v>0</v>
      </c>
      <c r="W80" s="35">
        <f t="shared" si="46"/>
        <v>0</v>
      </c>
      <c r="X80" s="35">
        <f t="shared" si="46"/>
        <v>0</v>
      </c>
      <c r="Y80" s="36">
        <f t="shared" si="28"/>
        <v>27</v>
      </c>
      <c r="Z80" s="37">
        <f t="shared" si="29"/>
        <v>43</v>
      </c>
      <c r="AA80" s="37">
        <f t="shared" si="30"/>
        <v>0</v>
      </c>
      <c r="AB80" s="36">
        <f t="shared" si="31"/>
        <v>70</v>
      </c>
      <c r="AC80" s="38">
        <f t="shared" si="32"/>
        <v>43.5</v>
      </c>
      <c r="AD80" s="50">
        <f t="shared" si="33"/>
        <v>4.0579710144927533E-2</v>
      </c>
      <c r="AE80" s="50">
        <f t="shared" si="33"/>
        <v>3.3371691599539698E-2</v>
      </c>
      <c r="AG80" s="48">
        <f t="shared" si="34"/>
        <v>5</v>
      </c>
      <c r="AH80" s="48">
        <f t="shared" si="34"/>
        <v>21.5</v>
      </c>
      <c r="AI80" s="48">
        <f t="shared" si="34"/>
        <v>17</v>
      </c>
      <c r="AJ80" s="48">
        <f t="shared" si="34"/>
        <v>0</v>
      </c>
      <c r="AK80" s="48">
        <f t="shared" si="34"/>
        <v>0</v>
      </c>
      <c r="AL80" s="48">
        <f t="shared" si="34"/>
        <v>0</v>
      </c>
      <c r="AM80" s="48">
        <f t="shared" si="34"/>
        <v>0</v>
      </c>
      <c r="AN80" s="48">
        <f t="shared" si="34"/>
        <v>0</v>
      </c>
      <c r="AO80" s="48">
        <f t="shared" si="34"/>
        <v>0</v>
      </c>
      <c r="AQ80" s="50"/>
      <c r="AU80" s="5"/>
      <c r="AV80" s="5"/>
      <c r="AW80" s="5"/>
      <c r="AX80" s="5"/>
      <c r="AY80" s="5"/>
    </row>
    <row r="81" spans="1:51" s="48" customFormat="1">
      <c r="A81" s="3">
        <v>0.83333333333333259</v>
      </c>
      <c r="B81" s="3">
        <v>0.87499999999999911</v>
      </c>
      <c r="C81" s="21"/>
      <c r="D81" s="21"/>
      <c r="E81" s="22"/>
      <c r="F81" s="22"/>
      <c r="G81" s="22"/>
      <c r="H81" s="22"/>
      <c r="I81" s="22"/>
      <c r="J81" s="22"/>
      <c r="K81" s="22"/>
      <c r="L81" s="22"/>
      <c r="O81" s="34">
        <f>SUM(O36:O37)</f>
        <v>1</v>
      </c>
      <c r="P81" s="34">
        <f t="shared" ref="P81:X81" si="47">SUM(P36:P37)</f>
        <v>26</v>
      </c>
      <c r="Q81" s="34">
        <f t="shared" si="47"/>
        <v>4</v>
      </c>
      <c r="R81" s="35">
        <f t="shared" si="47"/>
        <v>0</v>
      </c>
      <c r="S81" s="35">
        <f t="shared" si="47"/>
        <v>0</v>
      </c>
      <c r="T81" s="35">
        <f t="shared" si="47"/>
        <v>0</v>
      </c>
      <c r="U81" s="35">
        <f t="shared" si="47"/>
        <v>3</v>
      </c>
      <c r="V81" s="35">
        <f t="shared" si="47"/>
        <v>1</v>
      </c>
      <c r="W81" s="35">
        <f t="shared" si="47"/>
        <v>0</v>
      </c>
      <c r="X81" s="35">
        <f t="shared" si="47"/>
        <v>0</v>
      </c>
      <c r="Y81" s="36">
        <f t="shared" si="28"/>
        <v>5</v>
      </c>
      <c r="Z81" s="37">
        <f t="shared" si="29"/>
        <v>29</v>
      </c>
      <c r="AA81" s="37">
        <f t="shared" si="30"/>
        <v>1</v>
      </c>
      <c r="AB81" s="36">
        <f t="shared" si="31"/>
        <v>35</v>
      </c>
      <c r="AC81" s="38">
        <f t="shared" si="32"/>
        <v>25</v>
      </c>
      <c r="AD81" s="50">
        <f t="shared" si="33"/>
        <v>2.0289855072463767E-2</v>
      </c>
      <c r="AE81" s="50">
        <f t="shared" si="33"/>
        <v>1.9179133103183737E-2</v>
      </c>
      <c r="AG81" s="48">
        <f t="shared" si="34"/>
        <v>0.5</v>
      </c>
      <c r="AH81" s="48">
        <f t="shared" si="34"/>
        <v>13</v>
      </c>
      <c r="AI81" s="48">
        <f t="shared" si="34"/>
        <v>4</v>
      </c>
      <c r="AJ81" s="48">
        <f t="shared" si="34"/>
        <v>0</v>
      </c>
      <c r="AK81" s="48">
        <f t="shared" si="34"/>
        <v>0</v>
      </c>
      <c r="AL81" s="48">
        <f t="shared" si="34"/>
        <v>0</v>
      </c>
      <c r="AM81" s="48">
        <f t="shared" si="34"/>
        <v>6</v>
      </c>
      <c r="AN81" s="48">
        <f t="shared" si="34"/>
        <v>1.5</v>
      </c>
      <c r="AO81" s="48">
        <f t="shared" si="34"/>
        <v>0</v>
      </c>
      <c r="AQ81" s="50"/>
      <c r="AU81" s="5"/>
      <c r="AV81" s="5"/>
      <c r="AW81" s="5"/>
      <c r="AX81" s="5"/>
      <c r="AY81" s="5"/>
    </row>
    <row r="82" spans="1:51" s="48" customFormat="1">
      <c r="A82" s="3">
        <v>0.87499999999999911</v>
      </c>
      <c r="B82" s="3">
        <v>0.91666666666666663</v>
      </c>
      <c r="C82" s="21"/>
      <c r="D82" s="21"/>
      <c r="E82" s="22"/>
      <c r="F82" s="22"/>
      <c r="G82" s="22"/>
      <c r="H82" s="22"/>
      <c r="I82" s="22"/>
      <c r="J82" s="22"/>
      <c r="K82" s="22"/>
      <c r="L82" s="22"/>
      <c r="O82" s="34">
        <f>SUM(O38:O39)</f>
        <v>0</v>
      </c>
      <c r="P82" s="34">
        <f t="shared" ref="P82:X82" si="48">SUM(P38:P39)</f>
        <v>0</v>
      </c>
      <c r="Q82" s="34">
        <f t="shared" si="48"/>
        <v>0</v>
      </c>
      <c r="R82" s="35">
        <f t="shared" si="48"/>
        <v>0</v>
      </c>
      <c r="S82" s="35">
        <f t="shared" si="48"/>
        <v>0</v>
      </c>
      <c r="T82" s="35">
        <f t="shared" si="48"/>
        <v>0</v>
      </c>
      <c r="U82" s="35">
        <f t="shared" si="48"/>
        <v>0</v>
      </c>
      <c r="V82" s="35">
        <f t="shared" si="48"/>
        <v>0</v>
      </c>
      <c r="W82" s="35">
        <f t="shared" si="48"/>
        <v>0</v>
      </c>
      <c r="X82" s="35">
        <f t="shared" si="48"/>
        <v>0</v>
      </c>
      <c r="Y82" s="36">
        <f t="shared" si="28"/>
        <v>0</v>
      </c>
      <c r="Z82" s="37">
        <f t="shared" si="29"/>
        <v>0</v>
      </c>
      <c r="AA82" s="37">
        <f t="shared" si="30"/>
        <v>0</v>
      </c>
      <c r="AB82" s="36">
        <f t="shared" si="31"/>
        <v>0</v>
      </c>
      <c r="AC82" s="38">
        <f t="shared" si="32"/>
        <v>0</v>
      </c>
      <c r="AD82" s="50">
        <f t="shared" si="33"/>
        <v>0</v>
      </c>
      <c r="AE82" s="50">
        <f t="shared" si="33"/>
        <v>0</v>
      </c>
      <c r="AG82" s="48">
        <f t="shared" si="34"/>
        <v>0</v>
      </c>
      <c r="AH82" s="48">
        <f t="shared" si="34"/>
        <v>0</v>
      </c>
      <c r="AI82" s="48">
        <f t="shared" si="34"/>
        <v>0</v>
      </c>
      <c r="AJ82" s="48">
        <f t="shared" si="34"/>
        <v>0</v>
      </c>
      <c r="AK82" s="48">
        <f t="shared" si="34"/>
        <v>0</v>
      </c>
      <c r="AL82" s="48">
        <f t="shared" si="34"/>
        <v>0</v>
      </c>
      <c r="AM82" s="48">
        <f t="shared" si="34"/>
        <v>0</v>
      </c>
      <c r="AN82" s="48">
        <f t="shared" si="34"/>
        <v>0</v>
      </c>
      <c r="AO82" s="48">
        <f t="shared" si="34"/>
        <v>0</v>
      </c>
      <c r="AQ82" s="50"/>
      <c r="AU82" s="5"/>
      <c r="AV82" s="5"/>
      <c r="AW82" s="5"/>
      <c r="AX82" s="5"/>
      <c r="AY82" s="5"/>
    </row>
    <row r="83" spans="1:51" s="48" customFormat="1">
      <c r="A83" s="47"/>
      <c r="B83" s="47"/>
      <c r="C83" s="64"/>
      <c r="N83" s="54" t="s">
        <v>17</v>
      </c>
      <c r="O83" s="69">
        <f t="shared" ref="O83:W83" si="49">SUM(O68:O82)</f>
        <v>178</v>
      </c>
      <c r="P83" s="69">
        <f t="shared" si="49"/>
        <v>711</v>
      </c>
      <c r="Q83" s="69">
        <f t="shared" si="49"/>
        <v>801</v>
      </c>
      <c r="R83" s="69">
        <f t="shared" si="49"/>
        <v>5</v>
      </c>
      <c r="S83" s="69">
        <f t="shared" si="49"/>
        <v>1</v>
      </c>
      <c r="T83" s="69">
        <f t="shared" si="49"/>
        <v>0</v>
      </c>
      <c r="U83" s="69">
        <f t="shared" si="49"/>
        <v>13</v>
      </c>
      <c r="V83" s="69">
        <f t="shared" si="49"/>
        <v>14</v>
      </c>
      <c r="W83" s="69">
        <f t="shared" si="49"/>
        <v>2</v>
      </c>
      <c r="Y83" s="67">
        <f>SUM(Y68:Y82)</f>
        <v>984</v>
      </c>
      <c r="Z83" s="67">
        <f>SUM(Z68:Z82)</f>
        <v>725</v>
      </c>
      <c r="AA83" s="67">
        <f>SUM(AA68:AA82)</f>
        <v>16</v>
      </c>
      <c r="AB83" s="67">
        <f>SUM(AB68:AB82)</f>
        <v>1725</v>
      </c>
      <c r="AC83" s="67">
        <f>SUM(AC68:AC82)</f>
        <v>1303.5</v>
      </c>
      <c r="AD83" s="50">
        <f t="shared" si="33"/>
        <v>1</v>
      </c>
      <c r="AE83" s="50">
        <f t="shared" si="33"/>
        <v>1</v>
      </c>
      <c r="AQ83" s="50"/>
    </row>
    <row r="84" spans="1:51" s="48" customFormat="1">
      <c r="A84" s="51"/>
      <c r="B84" s="51"/>
      <c r="N84" s="54" t="s">
        <v>16</v>
      </c>
      <c r="Y84" s="50"/>
      <c r="Z84" s="50"/>
      <c r="AA84" s="50"/>
      <c r="AB84" s="49"/>
    </row>
    <row r="85" spans="1:51" s="48" customFormat="1">
      <c r="A85" s="51"/>
      <c r="B85" s="51"/>
    </row>
    <row r="86" spans="1:51" s="48" customFormat="1">
      <c r="AB86" s="52" t="s">
        <v>14</v>
      </c>
      <c r="AC86" s="55">
        <f>MAX(AC68:AC82)</f>
        <v>188.5</v>
      </c>
    </row>
    <row r="87" spans="1:51" s="48" customFormat="1">
      <c r="AB87" s="52" t="s">
        <v>15</v>
      </c>
      <c r="AC87" s="56" t="s">
        <v>23</v>
      </c>
    </row>
    <row r="88" spans="1:51" s="48" customFormat="1"/>
    <row r="89" spans="1:51" s="48" customFormat="1"/>
    <row r="90" spans="1:51" s="48" customFormat="1"/>
  </sheetData>
  <mergeCells count="1">
    <mergeCell ref="A7:B7"/>
  </mergeCells>
  <phoneticPr fontId="9" type="noConversion"/>
  <conditionalFormatting sqref="C10:L65 O10:AC65 C68:L82 O68:AC82">
    <cfRule type="cellIs" dxfId="1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71C0-C0BF-4F47-88F3-84A500F4EE41}">
  <dimension ref="A1:AY90"/>
  <sheetViews>
    <sheetView zoomScale="115" zoomScaleNormal="115" workbookViewId="0">
      <pane xSplit="2" ySplit="9" topLeftCell="C64" activePane="bottomRight" state="frozen"/>
      <selection activeCell="D4" sqref="D4"/>
      <selection pane="topRight" activeCell="D4" sqref="D4"/>
      <selection pane="bottomLeft" activeCell="D4" sqref="D4"/>
      <selection pane="bottomRight" activeCell="O68" sqref="O68"/>
    </sheetView>
  </sheetViews>
  <sheetFormatPr defaultColWidth="8.85546875" defaultRowHeight="15"/>
  <cols>
    <col min="1" max="2" width="5.7109375" style="5" customWidth="1"/>
    <col min="3" max="12" width="6.7109375" style="5" customWidth="1"/>
    <col min="13" max="14" width="5.7109375" style="48" customWidth="1"/>
    <col min="15" max="15" width="7.7109375" style="5" customWidth="1"/>
    <col min="16" max="24" width="6.7109375" style="5" customWidth="1"/>
    <col min="25" max="29" width="8.85546875" style="5"/>
    <col min="30" max="42" width="8.85546875" style="48"/>
    <col min="43" max="43" width="10" style="48" bestFit="1" customWidth="1"/>
    <col min="44" max="46" width="8.85546875" style="48"/>
    <col min="47" max="16384" width="8.85546875" style="5"/>
  </cols>
  <sheetData>
    <row r="1" spans="1:51" s="46" customFormat="1">
      <c r="A1" s="45" t="s">
        <v>12</v>
      </c>
      <c r="M1" s="48"/>
      <c r="N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</row>
    <row r="2" spans="1:51" s="46" customFormat="1">
      <c r="A2" s="71" t="s">
        <v>24</v>
      </c>
      <c r="C2" s="46" t="s">
        <v>28</v>
      </c>
      <c r="I2" s="46" t="s">
        <v>26</v>
      </c>
      <c r="J2" s="46" t="s">
        <v>31</v>
      </c>
      <c r="M2" s="48"/>
      <c r="N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</row>
    <row r="3" spans="1:51" s="46" customFormat="1">
      <c r="A3" s="71" t="s">
        <v>25</v>
      </c>
      <c r="C3" s="46" t="s">
        <v>29</v>
      </c>
      <c r="M3" s="48"/>
      <c r="N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</row>
    <row r="4" spans="1:51" s="46" customFormat="1">
      <c r="A4" s="71" t="s">
        <v>27</v>
      </c>
      <c r="C4" s="72" t="s">
        <v>48</v>
      </c>
      <c r="M4" s="48"/>
      <c r="N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</row>
    <row r="5" spans="1:51" s="46" customFormat="1">
      <c r="A5" s="45"/>
      <c r="M5" s="48"/>
      <c r="N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</row>
    <row r="6" spans="1:51" s="46" customFormat="1">
      <c r="A6" s="45" t="s">
        <v>13</v>
      </c>
      <c r="M6" s="48"/>
      <c r="N6" s="48"/>
      <c r="O6" s="45" t="s">
        <v>9</v>
      </c>
      <c r="P6" s="45"/>
      <c r="Q6" s="45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</row>
    <row r="7" spans="1:51" s="23" customFormat="1" ht="31.5">
      <c r="A7" s="73" t="s">
        <v>0</v>
      </c>
      <c r="B7" s="73"/>
      <c r="C7" s="59" t="s">
        <v>32</v>
      </c>
      <c r="D7" s="59" t="s">
        <v>33</v>
      </c>
      <c r="E7" s="59" t="s">
        <v>34</v>
      </c>
      <c r="F7" s="59" t="s">
        <v>35</v>
      </c>
      <c r="G7" s="59" t="s">
        <v>36</v>
      </c>
      <c r="H7" s="59" t="s">
        <v>45</v>
      </c>
      <c r="I7" s="59" t="s">
        <v>38</v>
      </c>
      <c r="J7" s="59" t="s">
        <v>39</v>
      </c>
      <c r="K7" s="59" t="s">
        <v>40</v>
      </c>
      <c r="L7" s="59"/>
      <c r="M7" s="60"/>
      <c r="N7" s="60"/>
      <c r="O7" s="59" t="str">
        <f>C7</f>
        <v>Private Car</v>
      </c>
      <c r="P7" s="59" t="str">
        <f>D7</f>
        <v>MC</v>
      </c>
      <c r="Q7" s="59" t="str">
        <f t="shared" ref="Q7:X7" si="0">E7</f>
        <v>Tricycle</v>
      </c>
      <c r="R7" s="59" t="str">
        <f t="shared" si="0"/>
        <v>PUJ</v>
      </c>
      <c r="S7" s="59" t="str">
        <f t="shared" si="0"/>
        <v>Public Van</v>
      </c>
      <c r="T7" s="59" t="str">
        <f t="shared" si="0"/>
        <v>Bus</v>
      </c>
      <c r="U7" s="59" t="str">
        <f t="shared" si="0"/>
        <v>Truck</v>
      </c>
      <c r="V7" s="59" t="str">
        <f t="shared" si="0"/>
        <v>Light Goods</v>
      </c>
      <c r="W7" s="59" t="str">
        <f t="shared" si="0"/>
        <v>Others</v>
      </c>
      <c r="X7" s="59">
        <f t="shared" si="0"/>
        <v>0</v>
      </c>
      <c r="Y7" s="61" t="s">
        <v>10</v>
      </c>
      <c r="Z7" s="62" t="s">
        <v>1</v>
      </c>
      <c r="AA7" s="62" t="s">
        <v>2</v>
      </c>
      <c r="AB7" s="61" t="s">
        <v>3</v>
      </c>
      <c r="AC7" s="63" t="s">
        <v>4</v>
      </c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</row>
    <row r="8" spans="1:51">
      <c r="A8" s="6">
        <v>2.0833333333333332E-2</v>
      </c>
      <c r="C8" s="65" t="s">
        <v>6</v>
      </c>
      <c r="D8" s="65" t="s">
        <v>6</v>
      </c>
      <c r="E8" s="65" t="s">
        <v>6</v>
      </c>
      <c r="F8" s="65" t="s">
        <v>6</v>
      </c>
      <c r="G8" s="44" t="s">
        <v>8</v>
      </c>
      <c r="H8" s="65" t="s">
        <v>6</v>
      </c>
      <c r="I8" s="44" t="s">
        <v>8</v>
      </c>
      <c r="J8" s="44" t="s">
        <v>8</v>
      </c>
      <c r="K8" s="44" t="s">
        <v>8</v>
      </c>
      <c r="L8" s="44"/>
      <c r="M8" s="57"/>
      <c r="N8" s="57" t="s">
        <v>5</v>
      </c>
      <c r="O8" s="8">
        <v>0.5</v>
      </c>
      <c r="P8" s="8">
        <v>0.5</v>
      </c>
      <c r="Q8" s="8">
        <v>1</v>
      </c>
      <c r="R8" s="8">
        <v>1</v>
      </c>
      <c r="S8" s="8">
        <v>1</v>
      </c>
      <c r="T8" s="8">
        <v>1.5</v>
      </c>
      <c r="U8" s="8">
        <v>2</v>
      </c>
      <c r="V8" s="7">
        <v>1.5</v>
      </c>
      <c r="W8" s="7">
        <v>2.5</v>
      </c>
      <c r="X8" s="7">
        <v>1</v>
      </c>
      <c r="Y8" s="9"/>
      <c r="Z8" s="10"/>
      <c r="AA8" s="10"/>
      <c r="AB8" s="9"/>
      <c r="AC8" s="11"/>
      <c r="AG8" s="68" t="s">
        <v>19</v>
      </c>
      <c r="AQ8" s="48" t="s">
        <v>20</v>
      </c>
    </row>
    <row r="9" spans="1:51">
      <c r="A9" s="1"/>
      <c r="B9" s="12" t="s">
        <v>7</v>
      </c>
      <c r="C9" s="8"/>
      <c r="D9" s="8"/>
      <c r="E9" s="8"/>
      <c r="F9" s="8"/>
      <c r="G9" s="8"/>
      <c r="H9" s="8"/>
      <c r="I9" s="12"/>
      <c r="J9" s="12"/>
      <c r="K9" s="12"/>
      <c r="L9" s="12"/>
      <c r="M9" s="58"/>
      <c r="N9" s="12" t="s">
        <v>17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4"/>
      <c r="Z9" s="15"/>
      <c r="AA9" s="15"/>
      <c r="AB9" s="14"/>
      <c r="AC9" s="16"/>
      <c r="AG9" s="48" t="s">
        <v>21</v>
      </c>
    </row>
    <row r="10" spans="1:51">
      <c r="A10" s="3">
        <v>0.29166666666666674</v>
      </c>
      <c r="B10" s="3">
        <f t="shared" ref="B10:B65" si="1">$A$8+A10</f>
        <v>0.31250000000000006</v>
      </c>
      <c r="C10" s="21"/>
      <c r="D10" s="21"/>
      <c r="E10" s="22"/>
      <c r="F10" s="22"/>
      <c r="G10" s="22"/>
      <c r="H10" s="22"/>
      <c r="I10" s="22"/>
      <c r="J10" s="22"/>
      <c r="K10" s="22"/>
      <c r="L10" s="22"/>
      <c r="O10" s="34">
        <v>39</v>
      </c>
      <c r="P10" s="34">
        <v>98</v>
      </c>
      <c r="Q10" s="34">
        <v>103</v>
      </c>
      <c r="R10" s="35">
        <v>4</v>
      </c>
      <c r="S10" s="35">
        <v>0</v>
      </c>
      <c r="T10" s="35">
        <f t="shared" ref="S10:X25" si="2">H10-H9</f>
        <v>0</v>
      </c>
      <c r="U10" s="35">
        <f t="shared" si="2"/>
        <v>0</v>
      </c>
      <c r="V10" s="35">
        <v>2</v>
      </c>
      <c r="W10" s="35">
        <v>1</v>
      </c>
      <c r="X10" s="35">
        <f t="shared" si="2"/>
        <v>0</v>
      </c>
      <c r="Y10" s="36">
        <f t="shared" ref="Y10:Y65" si="3">O10+Q10+R10</f>
        <v>146</v>
      </c>
      <c r="Z10" s="37">
        <f t="shared" ref="Z10:Z65" si="4">S10+T10+U10+P10</f>
        <v>98</v>
      </c>
      <c r="AA10" s="37">
        <f t="shared" ref="AA10:AA65" si="5">V10+W10</f>
        <v>3</v>
      </c>
      <c r="AB10" s="36">
        <f t="shared" ref="AB10:AB65" si="6">SUM(O10:W10)</f>
        <v>247</v>
      </c>
      <c r="AC10" s="38">
        <f t="shared" ref="AC10:AC65" si="7">SUM(AG10:AO10)</f>
        <v>181</v>
      </c>
      <c r="AG10" s="66">
        <f t="shared" ref="AG10:AO37" si="8">O10*O$8</f>
        <v>19.5</v>
      </c>
      <c r="AH10" s="66">
        <f t="shared" si="8"/>
        <v>49</v>
      </c>
      <c r="AI10" s="66">
        <f t="shared" si="8"/>
        <v>103</v>
      </c>
      <c r="AJ10" s="66">
        <f t="shared" si="8"/>
        <v>4</v>
      </c>
      <c r="AK10" s="66">
        <f t="shared" si="8"/>
        <v>0</v>
      </c>
      <c r="AL10" s="66">
        <f t="shared" si="8"/>
        <v>0</v>
      </c>
      <c r="AM10" s="66">
        <f t="shared" si="8"/>
        <v>0</v>
      </c>
      <c r="AN10" s="66">
        <f t="shared" si="8"/>
        <v>3</v>
      </c>
      <c r="AO10" s="66">
        <f t="shared" si="8"/>
        <v>2.5</v>
      </c>
      <c r="AQ10" s="49">
        <f t="shared" ref="AQ10:AY10" si="9">SUM(O10:O13)</f>
        <v>201</v>
      </c>
      <c r="AR10" s="49">
        <f t="shared" si="9"/>
        <v>612</v>
      </c>
      <c r="AS10" s="49">
        <f t="shared" si="9"/>
        <v>422</v>
      </c>
      <c r="AT10" s="49">
        <f t="shared" si="9"/>
        <v>25</v>
      </c>
      <c r="AU10" s="49">
        <f t="shared" si="9"/>
        <v>2</v>
      </c>
      <c r="AV10" s="49">
        <f t="shared" si="9"/>
        <v>2</v>
      </c>
      <c r="AW10" s="49">
        <f t="shared" si="9"/>
        <v>1</v>
      </c>
      <c r="AX10" s="49">
        <f t="shared" si="9"/>
        <v>10</v>
      </c>
      <c r="AY10" s="49">
        <f t="shared" si="9"/>
        <v>14</v>
      </c>
    </row>
    <row r="11" spans="1:51">
      <c r="A11" s="1">
        <f t="shared" ref="A11:A65" si="10">B10</f>
        <v>0.31250000000000006</v>
      </c>
      <c r="B11" s="1">
        <f t="shared" si="1"/>
        <v>0.33333333333333337</v>
      </c>
      <c r="C11" s="17"/>
      <c r="D11" s="17"/>
      <c r="E11" s="18"/>
      <c r="F11" s="18"/>
      <c r="G11" s="18"/>
      <c r="H11" s="18"/>
      <c r="I11" s="18"/>
      <c r="J11" s="18"/>
      <c r="K11" s="18"/>
      <c r="L11" s="18"/>
      <c r="O11" s="24">
        <v>51</v>
      </c>
      <c r="P11" s="24">
        <v>195</v>
      </c>
      <c r="Q11" s="24">
        <v>101</v>
      </c>
      <c r="R11" s="25">
        <v>5</v>
      </c>
      <c r="S11" s="25">
        <v>1</v>
      </c>
      <c r="T11" s="25">
        <v>2</v>
      </c>
      <c r="U11" s="25">
        <v>1</v>
      </c>
      <c r="V11" s="25">
        <v>2</v>
      </c>
      <c r="W11" s="25">
        <v>1</v>
      </c>
      <c r="X11" s="25">
        <f t="shared" si="2"/>
        <v>0</v>
      </c>
      <c r="Y11" s="26">
        <f t="shared" si="3"/>
        <v>157</v>
      </c>
      <c r="Z11" s="27">
        <f t="shared" si="4"/>
        <v>199</v>
      </c>
      <c r="AA11" s="27">
        <f t="shared" si="5"/>
        <v>3</v>
      </c>
      <c r="AB11" s="26">
        <f t="shared" si="6"/>
        <v>359</v>
      </c>
      <c r="AC11" s="28">
        <f t="shared" si="7"/>
        <v>240.5</v>
      </c>
      <c r="AG11" s="66">
        <f t="shared" si="8"/>
        <v>25.5</v>
      </c>
      <c r="AH11" s="66">
        <f t="shared" si="8"/>
        <v>97.5</v>
      </c>
      <c r="AI11" s="66">
        <f t="shared" si="8"/>
        <v>101</v>
      </c>
      <c r="AJ11" s="66">
        <f t="shared" si="8"/>
        <v>5</v>
      </c>
      <c r="AK11" s="66">
        <f t="shared" si="8"/>
        <v>1</v>
      </c>
      <c r="AL11" s="66">
        <f t="shared" si="8"/>
        <v>3</v>
      </c>
      <c r="AM11" s="66">
        <f t="shared" si="8"/>
        <v>2</v>
      </c>
      <c r="AN11" s="66">
        <f t="shared" si="8"/>
        <v>3</v>
      </c>
      <c r="AO11" s="66">
        <f t="shared" si="8"/>
        <v>2.5</v>
      </c>
      <c r="AU11" s="48"/>
      <c r="AV11" s="48"/>
      <c r="AW11" s="48"/>
      <c r="AX11" s="48"/>
      <c r="AY11" s="48"/>
    </row>
    <row r="12" spans="1:51">
      <c r="A12" s="1">
        <f t="shared" si="10"/>
        <v>0.33333333333333337</v>
      </c>
      <c r="B12" s="1">
        <f t="shared" si="1"/>
        <v>0.35416666666666669</v>
      </c>
      <c r="C12" s="17"/>
      <c r="D12" s="17"/>
      <c r="E12" s="18"/>
      <c r="F12" s="18"/>
      <c r="G12" s="18"/>
      <c r="H12" s="18"/>
      <c r="I12" s="18"/>
      <c r="J12" s="18"/>
      <c r="K12" s="18"/>
      <c r="L12" s="18"/>
      <c r="O12" s="24">
        <v>63</v>
      </c>
      <c r="P12" s="24">
        <v>183</v>
      </c>
      <c r="Q12" s="24">
        <v>128</v>
      </c>
      <c r="R12" s="25">
        <v>7</v>
      </c>
      <c r="S12" s="25">
        <v>0</v>
      </c>
      <c r="T12" s="25">
        <f t="shared" si="2"/>
        <v>0</v>
      </c>
      <c r="U12" s="25">
        <v>0</v>
      </c>
      <c r="V12" s="25">
        <v>3</v>
      </c>
      <c r="W12" s="25">
        <v>9</v>
      </c>
      <c r="X12" s="25">
        <f t="shared" si="2"/>
        <v>0</v>
      </c>
      <c r="Y12" s="26">
        <f t="shared" si="3"/>
        <v>198</v>
      </c>
      <c r="Z12" s="27">
        <f t="shared" si="4"/>
        <v>183</v>
      </c>
      <c r="AA12" s="27">
        <f t="shared" si="5"/>
        <v>12</v>
      </c>
      <c r="AB12" s="26">
        <f t="shared" si="6"/>
        <v>393</v>
      </c>
      <c r="AC12" s="28">
        <f t="shared" si="7"/>
        <v>285</v>
      </c>
      <c r="AG12" s="66">
        <f t="shared" si="8"/>
        <v>31.5</v>
      </c>
      <c r="AH12" s="66">
        <f t="shared" si="8"/>
        <v>91.5</v>
      </c>
      <c r="AI12" s="66">
        <f t="shared" si="8"/>
        <v>128</v>
      </c>
      <c r="AJ12" s="66">
        <f t="shared" si="8"/>
        <v>7</v>
      </c>
      <c r="AK12" s="66">
        <f t="shared" si="8"/>
        <v>0</v>
      </c>
      <c r="AL12" s="66">
        <f t="shared" si="8"/>
        <v>0</v>
      </c>
      <c r="AM12" s="66">
        <f t="shared" si="8"/>
        <v>0</v>
      </c>
      <c r="AN12" s="66">
        <f t="shared" si="8"/>
        <v>4.5</v>
      </c>
      <c r="AO12" s="66">
        <f t="shared" si="8"/>
        <v>22.5</v>
      </c>
      <c r="AU12" s="48"/>
      <c r="AV12" s="48"/>
      <c r="AW12" s="48"/>
      <c r="AX12" s="48"/>
      <c r="AY12" s="48"/>
    </row>
    <row r="13" spans="1:51">
      <c r="A13" s="2">
        <f t="shared" si="10"/>
        <v>0.35416666666666669</v>
      </c>
      <c r="B13" s="2">
        <f t="shared" si="1"/>
        <v>0.375</v>
      </c>
      <c r="C13" s="19"/>
      <c r="D13" s="19"/>
      <c r="E13" s="20"/>
      <c r="F13" s="20"/>
      <c r="G13" s="20"/>
      <c r="H13" s="20"/>
      <c r="I13" s="20"/>
      <c r="J13" s="20"/>
      <c r="K13" s="20"/>
      <c r="L13" s="20"/>
      <c r="O13" s="29">
        <v>48</v>
      </c>
      <c r="P13" s="29">
        <v>136</v>
      </c>
      <c r="Q13" s="29">
        <v>90</v>
      </c>
      <c r="R13" s="30">
        <v>9</v>
      </c>
      <c r="S13" s="30">
        <v>1</v>
      </c>
      <c r="T13" s="30">
        <f t="shared" si="2"/>
        <v>0</v>
      </c>
      <c r="U13" s="30">
        <v>0</v>
      </c>
      <c r="V13" s="30">
        <v>3</v>
      </c>
      <c r="W13" s="30">
        <v>3</v>
      </c>
      <c r="X13" s="30">
        <f t="shared" si="2"/>
        <v>0</v>
      </c>
      <c r="Y13" s="31">
        <f t="shared" si="3"/>
        <v>147</v>
      </c>
      <c r="Z13" s="32">
        <f t="shared" si="4"/>
        <v>137</v>
      </c>
      <c r="AA13" s="32">
        <f t="shared" si="5"/>
        <v>6</v>
      </c>
      <c r="AB13" s="31">
        <f t="shared" si="6"/>
        <v>290</v>
      </c>
      <c r="AC13" s="33">
        <f t="shared" si="7"/>
        <v>204</v>
      </c>
      <c r="AG13" s="66">
        <f t="shared" si="8"/>
        <v>24</v>
      </c>
      <c r="AH13" s="66">
        <f t="shared" si="8"/>
        <v>68</v>
      </c>
      <c r="AI13" s="66">
        <f t="shared" si="8"/>
        <v>90</v>
      </c>
      <c r="AJ13" s="66">
        <f t="shared" si="8"/>
        <v>9</v>
      </c>
      <c r="AK13" s="66">
        <f t="shared" si="8"/>
        <v>1</v>
      </c>
      <c r="AL13" s="66">
        <f t="shared" si="8"/>
        <v>0</v>
      </c>
      <c r="AM13" s="66">
        <f t="shared" si="8"/>
        <v>0</v>
      </c>
      <c r="AN13" s="66">
        <f t="shared" si="8"/>
        <v>4.5</v>
      </c>
      <c r="AO13" s="66">
        <f t="shared" si="8"/>
        <v>7.5</v>
      </c>
      <c r="AU13" s="48"/>
      <c r="AV13" s="48"/>
      <c r="AW13" s="48"/>
      <c r="AX13" s="48"/>
      <c r="AY13" s="48"/>
    </row>
    <row r="14" spans="1:51">
      <c r="A14" s="3">
        <f t="shared" si="10"/>
        <v>0.375</v>
      </c>
      <c r="B14" s="3">
        <f t="shared" si="1"/>
        <v>0.39583333333333331</v>
      </c>
      <c r="C14" s="21"/>
      <c r="D14" s="21"/>
      <c r="E14" s="22"/>
      <c r="F14" s="22"/>
      <c r="G14" s="22"/>
      <c r="H14" s="22"/>
      <c r="I14" s="22"/>
      <c r="J14" s="22"/>
      <c r="K14" s="22"/>
      <c r="L14" s="22"/>
      <c r="O14" s="34">
        <v>34</v>
      </c>
      <c r="P14" s="34">
        <v>119</v>
      </c>
      <c r="Q14" s="34">
        <v>66</v>
      </c>
      <c r="R14" s="35">
        <v>4</v>
      </c>
      <c r="S14" s="35">
        <f t="shared" si="2"/>
        <v>0</v>
      </c>
      <c r="T14" s="35">
        <f t="shared" si="2"/>
        <v>0</v>
      </c>
      <c r="U14" s="35">
        <v>1</v>
      </c>
      <c r="V14" s="35">
        <v>3</v>
      </c>
      <c r="W14" s="35">
        <v>4</v>
      </c>
      <c r="X14" s="35">
        <f t="shared" si="2"/>
        <v>0</v>
      </c>
      <c r="Y14" s="36">
        <f t="shared" si="3"/>
        <v>104</v>
      </c>
      <c r="Z14" s="37">
        <f t="shared" si="4"/>
        <v>120</v>
      </c>
      <c r="AA14" s="37">
        <f t="shared" si="5"/>
        <v>7</v>
      </c>
      <c r="AB14" s="36">
        <f t="shared" si="6"/>
        <v>231</v>
      </c>
      <c r="AC14" s="38">
        <f t="shared" si="7"/>
        <v>163</v>
      </c>
      <c r="AG14" s="66">
        <f t="shared" si="8"/>
        <v>17</v>
      </c>
      <c r="AH14" s="66">
        <f t="shared" si="8"/>
        <v>59.5</v>
      </c>
      <c r="AI14" s="66">
        <f t="shared" si="8"/>
        <v>66</v>
      </c>
      <c r="AJ14" s="66">
        <f t="shared" si="8"/>
        <v>4</v>
      </c>
      <c r="AK14" s="66">
        <f t="shared" si="8"/>
        <v>0</v>
      </c>
      <c r="AL14" s="66">
        <f t="shared" si="8"/>
        <v>0</v>
      </c>
      <c r="AM14" s="66">
        <f t="shared" si="8"/>
        <v>2</v>
      </c>
      <c r="AN14" s="66">
        <f t="shared" si="8"/>
        <v>4.5</v>
      </c>
      <c r="AO14" s="66">
        <f t="shared" si="8"/>
        <v>10</v>
      </c>
      <c r="AQ14" s="49">
        <f t="shared" ref="AQ14:AY14" si="11">SUM(O14:O17)</f>
        <v>135</v>
      </c>
      <c r="AR14" s="49">
        <f t="shared" si="11"/>
        <v>467</v>
      </c>
      <c r="AS14" s="49">
        <f t="shared" si="11"/>
        <v>277</v>
      </c>
      <c r="AT14" s="49">
        <f t="shared" si="11"/>
        <v>39</v>
      </c>
      <c r="AU14" s="49">
        <f t="shared" si="11"/>
        <v>0</v>
      </c>
      <c r="AV14" s="49">
        <f t="shared" si="11"/>
        <v>0</v>
      </c>
      <c r="AW14" s="49">
        <f t="shared" si="11"/>
        <v>1</v>
      </c>
      <c r="AX14" s="49">
        <f t="shared" si="11"/>
        <v>14</v>
      </c>
      <c r="AY14" s="49">
        <f t="shared" si="11"/>
        <v>8</v>
      </c>
    </row>
    <row r="15" spans="1:51">
      <c r="A15" s="1">
        <f t="shared" si="10"/>
        <v>0.39583333333333331</v>
      </c>
      <c r="B15" s="1">
        <f t="shared" si="1"/>
        <v>0.41666666666666663</v>
      </c>
      <c r="C15" s="17"/>
      <c r="D15" s="17"/>
      <c r="E15" s="18"/>
      <c r="F15" s="18"/>
      <c r="G15" s="18"/>
      <c r="H15" s="18"/>
      <c r="I15" s="18"/>
      <c r="J15" s="18"/>
      <c r="K15" s="18"/>
      <c r="L15" s="18"/>
      <c r="O15" s="24">
        <v>24</v>
      </c>
      <c r="P15" s="24">
        <v>106</v>
      </c>
      <c r="Q15" s="24">
        <v>79</v>
      </c>
      <c r="R15" s="25">
        <v>13</v>
      </c>
      <c r="S15" s="25">
        <f t="shared" si="2"/>
        <v>0</v>
      </c>
      <c r="T15" s="25">
        <f t="shared" si="2"/>
        <v>0</v>
      </c>
      <c r="U15" s="25">
        <f t="shared" si="2"/>
        <v>0</v>
      </c>
      <c r="V15" s="25">
        <v>1</v>
      </c>
      <c r="W15" s="25">
        <v>1</v>
      </c>
      <c r="X15" s="25">
        <f t="shared" si="2"/>
        <v>0</v>
      </c>
      <c r="Y15" s="26">
        <f t="shared" si="3"/>
        <v>116</v>
      </c>
      <c r="Z15" s="27">
        <f t="shared" si="4"/>
        <v>106</v>
      </c>
      <c r="AA15" s="27">
        <f t="shared" si="5"/>
        <v>2</v>
      </c>
      <c r="AB15" s="26">
        <f t="shared" si="6"/>
        <v>224</v>
      </c>
      <c r="AC15" s="28">
        <f t="shared" si="7"/>
        <v>161</v>
      </c>
      <c r="AG15" s="66">
        <f t="shared" si="8"/>
        <v>12</v>
      </c>
      <c r="AH15" s="66">
        <f t="shared" si="8"/>
        <v>53</v>
      </c>
      <c r="AI15" s="66">
        <f t="shared" si="8"/>
        <v>79</v>
      </c>
      <c r="AJ15" s="66">
        <f t="shared" si="8"/>
        <v>13</v>
      </c>
      <c r="AK15" s="66">
        <f t="shared" si="8"/>
        <v>0</v>
      </c>
      <c r="AL15" s="66">
        <f t="shared" si="8"/>
        <v>0</v>
      </c>
      <c r="AM15" s="66">
        <f t="shared" si="8"/>
        <v>0</v>
      </c>
      <c r="AN15" s="66">
        <f t="shared" si="8"/>
        <v>1.5</v>
      </c>
      <c r="AO15" s="66">
        <f t="shared" si="8"/>
        <v>2.5</v>
      </c>
      <c r="AU15" s="48"/>
      <c r="AV15" s="48"/>
      <c r="AW15" s="48"/>
      <c r="AX15" s="48"/>
      <c r="AY15" s="48"/>
    </row>
    <row r="16" spans="1:51">
      <c r="A16" s="1">
        <f t="shared" si="10"/>
        <v>0.41666666666666663</v>
      </c>
      <c r="B16" s="1">
        <f t="shared" si="1"/>
        <v>0.43749999999999994</v>
      </c>
      <c r="C16" s="17"/>
      <c r="D16" s="17"/>
      <c r="E16" s="18"/>
      <c r="F16" s="18"/>
      <c r="G16" s="18"/>
      <c r="H16" s="18"/>
      <c r="I16" s="18"/>
      <c r="J16" s="18"/>
      <c r="K16" s="18"/>
      <c r="L16" s="18"/>
      <c r="O16" s="24">
        <v>36</v>
      </c>
      <c r="P16" s="24">
        <v>149</v>
      </c>
      <c r="Q16" s="24">
        <v>78</v>
      </c>
      <c r="R16" s="25">
        <v>14</v>
      </c>
      <c r="S16" s="25">
        <f t="shared" si="2"/>
        <v>0</v>
      </c>
      <c r="T16" s="25">
        <f t="shared" si="2"/>
        <v>0</v>
      </c>
      <c r="U16" s="25">
        <v>0</v>
      </c>
      <c r="V16" s="25">
        <v>5</v>
      </c>
      <c r="W16" s="25">
        <v>2</v>
      </c>
      <c r="X16" s="25">
        <f t="shared" si="2"/>
        <v>0</v>
      </c>
      <c r="Y16" s="26">
        <f t="shared" si="3"/>
        <v>128</v>
      </c>
      <c r="Z16" s="27">
        <f t="shared" si="4"/>
        <v>149</v>
      </c>
      <c r="AA16" s="27">
        <f t="shared" si="5"/>
        <v>7</v>
      </c>
      <c r="AB16" s="26">
        <f t="shared" si="6"/>
        <v>284</v>
      </c>
      <c r="AC16" s="28">
        <f t="shared" si="7"/>
        <v>197</v>
      </c>
      <c r="AG16" s="66">
        <f t="shared" si="8"/>
        <v>18</v>
      </c>
      <c r="AH16" s="66">
        <f t="shared" si="8"/>
        <v>74.5</v>
      </c>
      <c r="AI16" s="66">
        <f t="shared" si="8"/>
        <v>78</v>
      </c>
      <c r="AJ16" s="66">
        <f t="shared" si="8"/>
        <v>14</v>
      </c>
      <c r="AK16" s="66">
        <f t="shared" si="8"/>
        <v>0</v>
      </c>
      <c r="AL16" s="66">
        <f t="shared" si="8"/>
        <v>0</v>
      </c>
      <c r="AM16" s="66">
        <f t="shared" si="8"/>
        <v>0</v>
      </c>
      <c r="AN16" s="66">
        <f t="shared" si="8"/>
        <v>7.5</v>
      </c>
      <c r="AO16" s="66">
        <f t="shared" si="8"/>
        <v>5</v>
      </c>
      <c r="AU16" s="48"/>
      <c r="AV16" s="48"/>
      <c r="AW16" s="48"/>
      <c r="AX16" s="48"/>
      <c r="AY16" s="48"/>
    </row>
    <row r="17" spans="1:51">
      <c r="A17" s="2">
        <f t="shared" si="10"/>
        <v>0.43749999999999994</v>
      </c>
      <c r="B17" s="2">
        <f t="shared" si="1"/>
        <v>0.45833333333333326</v>
      </c>
      <c r="C17" s="19"/>
      <c r="D17" s="19"/>
      <c r="E17" s="20"/>
      <c r="F17" s="20"/>
      <c r="G17" s="20"/>
      <c r="H17" s="20"/>
      <c r="I17" s="20"/>
      <c r="J17" s="20"/>
      <c r="K17" s="20"/>
      <c r="L17" s="20"/>
      <c r="O17" s="29">
        <v>41</v>
      </c>
      <c r="P17" s="29">
        <v>93</v>
      </c>
      <c r="Q17" s="29">
        <v>54</v>
      </c>
      <c r="R17" s="30">
        <v>8</v>
      </c>
      <c r="S17" s="30">
        <f t="shared" si="2"/>
        <v>0</v>
      </c>
      <c r="T17" s="30">
        <f t="shared" si="2"/>
        <v>0</v>
      </c>
      <c r="U17" s="30">
        <v>0</v>
      </c>
      <c r="V17" s="30">
        <v>5</v>
      </c>
      <c r="W17" s="30">
        <v>1</v>
      </c>
      <c r="X17" s="30">
        <f t="shared" si="2"/>
        <v>0</v>
      </c>
      <c r="Y17" s="31">
        <f t="shared" si="3"/>
        <v>103</v>
      </c>
      <c r="Z17" s="32">
        <f t="shared" si="4"/>
        <v>93</v>
      </c>
      <c r="AA17" s="32">
        <f t="shared" si="5"/>
        <v>6</v>
      </c>
      <c r="AB17" s="31">
        <f t="shared" si="6"/>
        <v>202</v>
      </c>
      <c r="AC17" s="33">
        <f t="shared" si="7"/>
        <v>139</v>
      </c>
      <c r="AG17" s="66">
        <f t="shared" si="8"/>
        <v>20.5</v>
      </c>
      <c r="AH17" s="66">
        <f t="shared" si="8"/>
        <v>46.5</v>
      </c>
      <c r="AI17" s="66">
        <f t="shared" si="8"/>
        <v>54</v>
      </c>
      <c r="AJ17" s="66">
        <f t="shared" si="8"/>
        <v>8</v>
      </c>
      <c r="AK17" s="66">
        <f t="shared" si="8"/>
        <v>0</v>
      </c>
      <c r="AL17" s="66">
        <f t="shared" si="8"/>
        <v>0</v>
      </c>
      <c r="AM17" s="66">
        <f t="shared" si="8"/>
        <v>0</v>
      </c>
      <c r="AN17" s="66">
        <f t="shared" si="8"/>
        <v>7.5</v>
      </c>
      <c r="AO17" s="66">
        <f t="shared" si="8"/>
        <v>2.5</v>
      </c>
      <c r="AU17" s="48"/>
      <c r="AV17" s="48"/>
      <c r="AW17" s="48"/>
      <c r="AX17" s="48"/>
      <c r="AY17" s="48"/>
    </row>
    <row r="18" spans="1:51">
      <c r="A18" s="3">
        <f t="shared" si="10"/>
        <v>0.45833333333333326</v>
      </c>
      <c r="B18" s="3">
        <f t="shared" si="1"/>
        <v>0.47916666666666657</v>
      </c>
      <c r="C18" s="21"/>
      <c r="D18" s="21"/>
      <c r="E18" s="22"/>
      <c r="F18" s="22"/>
      <c r="G18" s="22"/>
      <c r="H18" s="22"/>
      <c r="I18" s="22"/>
      <c r="J18" s="22"/>
      <c r="K18" s="22"/>
      <c r="L18" s="22"/>
      <c r="O18" s="34">
        <v>31</v>
      </c>
      <c r="P18" s="34">
        <v>134</v>
      </c>
      <c r="Q18" s="34">
        <v>47</v>
      </c>
      <c r="R18" s="35">
        <v>8</v>
      </c>
      <c r="S18" s="35">
        <f t="shared" si="2"/>
        <v>0</v>
      </c>
      <c r="T18" s="35">
        <f t="shared" si="2"/>
        <v>0</v>
      </c>
      <c r="U18" s="35">
        <v>1</v>
      </c>
      <c r="V18" s="35">
        <v>1</v>
      </c>
      <c r="W18" s="35">
        <v>4</v>
      </c>
      <c r="X18" s="35">
        <f t="shared" si="2"/>
        <v>0</v>
      </c>
      <c r="Y18" s="36">
        <f t="shared" si="3"/>
        <v>86</v>
      </c>
      <c r="Z18" s="37">
        <f t="shared" si="4"/>
        <v>135</v>
      </c>
      <c r="AA18" s="37">
        <f t="shared" si="5"/>
        <v>5</v>
      </c>
      <c r="AB18" s="36">
        <f t="shared" si="6"/>
        <v>226</v>
      </c>
      <c r="AC18" s="38">
        <f t="shared" si="7"/>
        <v>151</v>
      </c>
      <c r="AG18" s="66">
        <f t="shared" si="8"/>
        <v>15.5</v>
      </c>
      <c r="AH18" s="66">
        <f t="shared" si="8"/>
        <v>67</v>
      </c>
      <c r="AI18" s="66">
        <f t="shared" si="8"/>
        <v>47</v>
      </c>
      <c r="AJ18" s="66">
        <f t="shared" si="8"/>
        <v>8</v>
      </c>
      <c r="AK18" s="66">
        <f t="shared" si="8"/>
        <v>0</v>
      </c>
      <c r="AL18" s="66">
        <f t="shared" si="8"/>
        <v>0</v>
      </c>
      <c r="AM18" s="66">
        <f t="shared" si="8"/>
        <v>2</v>
      </c>
      <c r="AN18" s="66">
        <f t="shared" si="8"/>
        <v>1.5</v>
      </c>
      <c r="AO18" s="66">
        <f t="shared" si="8"/>
        <v>10</v>
      </c>
      <c r="AQ18" s="49">
        <f t="shared" ref="AQ18:AY18" si="12">SUM(O18:O21)</f>
        <v>160</v>
      </c>
      <c r="AR18" s="49">
        <f t="shared" si="12"/>
        <v>586</v>
      </c>
      <c r="AS18" s="49">
        <f t="shared" si="12"/>
        <v>234</v>
      </c>
      <c r="AT18" s="49">
        <f t="shared" si="12"/>
        <v>45</v>
      </c>
      <c r="AU18" s="49">
        <f t="shared" si="12"/>
        <v>0</v>
      </c>
      <c r="AV18" s="49">
        <f t="shared" si="12"/>
        <v>0</v>
      </c>
      <c r="AW18" s="49">
        <f t="shared" si="12"/>
        <v>1</v>
      </c>
      <c r="AX18" s="49">
        <f t="shared" si="12"/>
        <v>11</v>
      </c>
      <c r="AY18" s="49">
        <f t="shared" si="12"/>
        <v>9</v>
      </c>
    </row>
    <row r="19" spans="1:51">
      <c r="A19" s="1">
        <f t="shared" si="10"/>
        <v>0.47916666666666657</v>
      </c>
      <c r="B19" s="1">
        <f t="shared" si="1"/>
        <v>0.49999999999999989</v>
      </c>
      <c r="C19" s="17"/>
      <c r="D19" s="17"/>
      <c r="E19" s="18"/>
      <c r="F19" s="18"/>
      <c r="G19" s="18"/>
      <c r="H19" s="18"/>
      <c r="I19" s="18"/>
      <c r="J19" s="18"/>
      <c r="K19" s="18"/>
      <c r="L19" s="18"/>
      <c r="O19" s="24">
        <v>38</v>
      </c>
      <c r="P19" s="24">
        <v>174</v>
      </c>
      <c r="Q19" s="24">
        <v>62</v>
      </c>
      <c r="R19" s="25">
        <v>16</v>
      </c>
      <c r="S19" s="25">
        <f t="shared" si="2"/>
        <v>0</v>
      </c>
      <c r="T19" s="25">
        <f t="shared" si="2"/>
        <v>0</v>
      </c>
      <c r="U19" s="25">
        <f t="shared" si="2"/>
        <v>0</v>
      </c>
      <c r="V19" s="25">
        <v>4</v>
      </c>
      <c r="W19" s="25">
        <v>2</v>
      </c>
      <c r="X19" s="25">
        <f t="shared" si="2"/>
        <v>0</v>
      </c>
      <c r="Y19" s="26">
        <f t="shared" si="3"/>
        <v>116</v>
      </c>
      <c r="Z19" s="27">
        <f t="shared" si="4"/>
        <v>174</v>
      </c>
      <c r="AA19" s="27">
        <f t="shared" si="5"/>
        <v>6</v>
      </c>
      <c r="AB19" s="26">
        <f t="shared" si="6"/>
        <v>296</v>
      </c>
      <c r="AC19" s="28">
        <f t="shared" si="7"/>
        <v>195</v>
      </c>
      <c r="AG19" s="66">
        <f t="shared" si="8"/>
        <v>19</v>
      </c>
      <c r="AH19" s="66">
        <f t="shared" si="8"/>
        <v>87</v>
      </c>
      <c r="AI19" s="66">
        <f t="shared" si="8"/>
        <v>62</v>
      </c>
      <c r="AJ19" s="66">
        <f t="shared" si="8"/>
        <v>16</v>
      </c>
      <c r="AK19" s="66">
        <f t="shared" si="8"/>
        <v>0</v>
      </c>
      <c r="AL19" s="66">
        <f t="shared" si="8"/>
        <v>0</v>
      </c>
      <c r="AM19" s="66">
        <f t="shared" si="8"/>
        <v>0</v>
      </c>
      <c r="AN19" s="66">
        <f t="shared" si="8"/>
        <v>6</v>
      </c>
      <c r="AO19" s="66">
        <f t="shared" si="8"/>
        <v>5</v>
      </c>
      <c r="AU19" s="48"/>
      <c r="AV19" s="48"/>
      <c r="AW19" s="48"/>
      <c r="AX19" s="48"/>
      <c r="AY19" s="48"/>
    </row>
    <row r="20" spans="1:51">
      <c r="A20" s="1">
        <f t="shared" si="10"/>
        <v>0.49999999999999989</v>
      </c>
      <c r="B20" s="1">
        <f t="shared" si="1"/>
        <v>0.52083333333333326</v>
      </c>
      <c r="C20" s="17"/>
      <c r="D20" s="17"/>
      <c r="E20" s="18"/>
      <c r="F20" s="18"/>
      <c r="G20" s="18"/>
      <c r="H20" s="18"/>
      <c r="I20" s="18"/>
      <c r="J20" s="18"/>
      <c r="K20" s="18"/>
      <c r="L20" s="18"/>
      <c r="O20" s="24">
        <v>48</v>
      </c>
      <c r="P20" s="24">
        <v>149</v>
      </c>
      <c r="Q20" s="24">
        <v>40</v>
      </c>
      <c r="R20" s="25">
        <v>10</v>
      </c>
      <c r="S20" s="25">
        <f t="shared" si="2"/>
        <v>0</v>
      </c>
      <c r="T20" s="25">
        <f t="shared" si="2"/>
        <v>0</v>
      </c>
      <c r="U20" s="25">
        <f t="shared" si="2"/>
        <v>0</v>
      </c>
      <c r="V20" s="25">
        <v>4</v>
      </c>
      <c r="W20" s="25">
        <v>1</v>
      </c>
      <c r="X20" s="25">
        <f t="shared" si="2"/>
        <v>0</v>
      </c>
      <c r="Y20" s="26">
        <f t="shared" si="3"/>
        <v>98</v>
      </c>
      <c r="Z20" s="27">
        <f t="shared" si="4"/>
        <v>149</v>
      </c>
      <c r="AA20" s="27">
        <f t="shared" si="5"/>
        <v>5</v>
      </c>
      <c r="AB20" s="26">
        <f t="shared" si="6"/>
        <v>252</v>
      </c>
      <c r="AC20" s="28">
        <f t="shared" si="7"/>
        <v>157</v>
      </c>
      <c r="AG20" s="66">
        <f t="shared" si="8"/>
        <v>24</v>
      </c>
      <c r="AH20" s="66">
        <f t="shared" si="8"/>
        <v>74.5</v>
      </c>
      <c r="AI20" s="66">
        <f t="shared" si="8"/>
        <v>40</v>
      </c>
      <c r="AJ20" s="66">
        <f t="shared" si="8"/>
        <v>10</v>
      </c>
      <c r="AK20" s="66">
        <f t="shared" si="8"/>
        <v>0</v>
      </c>
      <c r="AL20" s="66">
        <f t="shared" si="8"/>
        <v>0</v>
      </c>
      <c r="AM20" s="66">
        <f t="shared" si="8"/>
        <v>0</v>
      </c>
      <c r="AN20" s="66">
        <f t="shared" si="8"/>
        <v>6</v>
      </c>
      <c r="AO20" s="66">
        <f t="shared" si="8"/>
        <v>2.5</v>
      </c>
      <c r="AU20" s="48"/>
      <c r="AV20" s="48"/>
      <c r="AW20" s="48"/>
      <c r="AX20" s="48"/>
      <c r="AY20" s="48"/>
    </row>
    <row r="21" spans="1:51">
      <c r="A21" s="2">
        <f t="shared" si="10"/>
        <v>0.52083333333333326</v>
      </c>
      <c r="B21" s="2">
        <f t="shared" si="1"/>
        <v>0.54166666666666663</v>
      </c>
      <c r="C21" s="19"/>
      <c r="D21" s="19"/>
      <c r="E21" s="20"/>
      <c r="F21" s="20"/>
      <c r="G21" s="20"/>
      <c r="H21" s="20"/>
      <c r="I21" s="20"/>
      <c r="J21" s="20"/>
      <c r="K21" s="20"/>
      <c r="L21" s="20"/>
      <c r="O21" s="29">
        <v>43</v>
      </c>
      <c r="P21" s="29">
        <v>129</v>
      </c>
      <c r="Q21" s="29">
        <v>85</v>
      </c>
      <c r="R21" s="30">
        <v>11</v>
      </c>
      <c r="S21" s="30">
        <f t="shared" si="2"/>
        <v>0</v>
      </c>
      <c r="T21" s="30">
        <f t="shared" si="2"/>
        <v>0</v>
      </c>
      <c r="U21" s="30">
        <f t="shared" si="2"/>
        <v>0</v>
      </c>
      <c r="V21" s="30">
        <v>2</v>
      </c>
      <c r="W21" s="30">
        <v>2</v>
      </c>
      <c r="X21" s="30">
        <f t="shared" si="2"/>
        <v>0</v>
      </c>
      <c r="Y21" s="31">
        <f t="shared" si="3"/>
        <v>139</v>
      </c>
      <c r="Z21" s="32">
        <f t="shared" si="4"/>
        <v>129</v>
      </c>
      <c r="AA21" s="32">
        <f t="shared" si="5"/>
        <v>4</v>
      </c>
      <c r="AB21" s="31">
        <f t="shared" si="6"/>
        <v>272</v>
      </c>
      <c r="AC21" s="33">
        <f t="shared" si="7"/>
        <v>190</v>
      </c>
      <c r="AG21" s="66">
        <f t="shared" si="8"/>
        <v>21.5</v>
      </c>
      <c r="AH21" s="66">
        <f t="shared" si="8"/>
        <v>64.5</v>
      </c>
      <c r="AI21" s="66">
        <f t="shared" si="8"/>
        <v>85</v>
      </c>
      <c r="AJ21" s="66">
        <f t="shared" si="8"/>
        <v>11</v>
      </c>
      <c r="AK21" s="66">
        <f t="shared" si="8"/>
        <v>0</v>
      </c>
      <c r="AL21" s="66">
        <f t="shared" si="8"/>
        <v>0</v>
      </c>
      <c r="AM21" s="66">
        <f t="shared" si="8"/>
        <v>0</v>
      </c>
      <c r="AN21" s="66">
        <f t="shared" si="8"/>
        <v>3</v>
      </c>
      <c r="AO21" s="66">
        <f t="shared" si="8"/>
        <v>5</v>
      </c>
      <c r="AU21" s="48"/>
      <c r="AV21" s="48"/>
      <c r="AW21" s="48"/>
      <c r="AX21" s="48"/>
      <c r="AY21" s="48"/>
    </row>
    <row r="22" spans="1:51">
      <c r="A22" s="3">
        <f t="shared" si="10"/>
        <v>0.54166666666666663</v>
      </c>
      <c r="B22" s="3">
        <f t="shared" si="1"/>
        <v>0.5625</v>
      </c>
      <c r="C22" s="21"/>
      <c r="D22" s="21"/>
      <c r="E22" s="22"/>
      <c r="F22" s="22"/>
      <c r="G22" s="22"/>
      <c r="H22" s="22"/>
      <c r="I22" s="22"/>
      <c r="J22" s="22"/>
      <c r="K22" s="22"/>
      <c r="L22" s="22"/>
      <c r="O22" s="34">
        <v>37</v>
      </c>
      <c r="P22" s="34">
        <v>139</v>
      </c>
      <c r="Q22" s="34">
        <v>49</v>
      </c>
      <c r="R22" s="35">
        <v>3</v>
      </c>
      <c r="S22" s="35">
        <f t="shared" si="2"/>
        <v>0</v>
      </c>
      <c r="T22" s="35">
        <f t="shared" si="2"/>
        <v>0</v>
      </c>
      <c r="U22" s="35">
        <f t="shared" si="2"/>
        <v>0</v>
      </c>
      <c r="V22" s="35">
        <v>2</v>
      </c>
      <c r="W22" s="35">
        <v>2</v>
      </c>
      <c r="X22" s="35">
        <f t="shared" si="2"/>
        <v>0</v>
      </c>
      <c r="Y22" s="36">
        <f t="shared" si="3"/>
        <v>89</v>
      </c>
      <c r="Z22" s="37">
        <f t="shared" si="4"/>
        <v>139</v>
      </c>
      <c r="AA22" s="37">
        <f t="shared" si="5"/>
        <v>4</v>
      </c>
      <c r="AB22" s="36">
        <f t="shared" si="6"/>
        <v>232</v>
      </c>
      <c r="AC22" s="38">
        <f t="shared" si="7"/>
        <v>148</v>
      </c>
      <c r="AG22" s="66">
        <f t="shared" si="8"/>
        <v>18.5</v>
      </c>
      <c r="AH22" s="66">
        <f t="shared" si="8"/>
        <v>69.5</v>
      </c>
      <c r="AI22" s="66">
        <f t="shared" si="8"/>
        <v>49</v>
      </c>
      <c r="AJ22" s="66">
        <f t="shared" si="8"/>
        <v>3</v>
      </c>
      <c r="AK22" s="66">
        <f t="shared" si="8"/>
        <v>0</v>
      </c>
      <c r="AL22" s="66">
        <f t="shared" si="8"/>
        <v>0</v>
      </c>
      <c r="AM22" s="66">
        <f t="shared" si="8"/>
        <v>0</v>
      </c>
      <c r="AN22" s="66">
        <f t="shared" si="8"/>
        <v>3</v>
      </c>
      <c r="AO22" s="66">
        <f t="shared" si="8"/>
        <v>5</v>
      </c>
      <c r="AQ22" s="49">
        <f t="shared" ref="AQ22:AY22" si="13">SUM(O22:O25)</f>
        <v>169</v>
      </c>
      <c r="AR22" s="49">
        <f t="shared" si="13"/>
        <v>488</v>
      </c>
      <c r="AS22" s="49">
        <f t="shared" si="13"/>
        <v>221</v>
      </c>
      <c r="AT22" s="49">
        <f t="shared" si="13"/>
        <v>39</v>
      </c>
      <c r="AU22" s="49">
        <f t="shared" si="13"/>
        <v>1</v>
      </c>
      <c r="AV22" s="49">
        <f t="shared" si="13"/>
        <v>1</v>
      </c>
      <c r="AW22" s="49">
        <f t="shared" si="13"/>
        <v>6</v>
      </c>
      <c r="AX22" s="49">
        <f t="shared" si="13"/>
        <v>5</v>
      </c>
      <c r="AY22" s="49">
        <f t="shared" si="13"/>
        <v>11</v>
      </c>
    </row>
    <row r="23" spans="1:51">
      <c r="A23" s="1">
        <f t="shared" si="10"/>
        <v>0.5625</v>
      </c>
      <c r="B23" s="1">
        <f t="shared" si="1"/>
        <v>0.58333333333333337</v>
      </c>
      <c r="C23" s="17"/>
      <c r="D23" s="17"/>
      <c r="E23" s="18"/>
      <c r="F23" s="18"/>
      <c r="G23" s="18"/>
      <c r="H23" s="18"/>
      <c r="I23" s="18"/>
      <c r="J23" s="18"/>
      <c r="K23" s="18"/>
      <c r="L23" s="18"/>
      <c r="O23" s="24">
        <v>40</v>
      </c>
      <c r="P23" s="24">
        <v>95</v>
      </c>
      <c r="Q23" s="24">
        <v>37</v>
      </c>
      <c r="R23" s="25">
        <v>10</v>
      </c>
      <c r="S23" s="25">
        <f t="shared" si="2"/>
        <v>0</v>
      </c>
      <c r="T23" s="25">
        <f t="shared" si="2"/>
        <v>0</v>
      </c>
      <c r="U23" s="25">
        <f t="shared" si="2"/>
        <v>0</v>
      </c>
      <c r="V23" s="25">
        <v>0</v>
      </c>
      <c r="W23" s="25">
        <v>4</v>
      </c>
      <c r="X23" s="25">
        <f t="shared" si="2"/>
        <v>0</v>
      </c>
      <c r="Y23" s="26">
        <f t="shared" si="3"/>
        <v>87</v>
      </c>
      <c r="Z23" s="27">
        <f t="shared" si="4"/>
        <v>95</v>
      </c>
      <c r="AA23" s="27">
        <f t="shared" si="5"/>
        <v>4</v>
      </c>
      <c r="AB23" s="26">
        <f t="shared" si="6"/>
        <v>186</v>
      </c>
      <c r="AC23" s="28">
        <f t="shared" si="7"/>
        <v>124.5</v>
      </c>
      <c r="AG23" s="66">
        <f t="shared" si="8"/>
        <v>20</v>
      </c>
      <c r="AH23" s="66">
        <f t="shared" si="8"/>
        <v>47.5</v>
      </c>
      <c r="AI23" s="66">
        <f t="shared" si="8"/>
        <v>37</v>
      </c>
      <c r="AJ23" s="66">
        <f t="shared" si="8"/>
        <v>10</v>
      </c>
      <c r="AK23" s="66">
        <f t="shared" si="8"/>
        <v>0</v>
      </c>
      <c r="AL23" s="66">
        <f t="shared" si="8"/>
        <v>0</v>
      </c>
      <c r="AM23" s="66">
        <f t="shared" si="8"/>
        <v>0</v>
      </c>
      <c r="AN23" s="66">
        <f t="shared" si="8"/>
        <v>0</v>
      </c>
      <c r="AO23" s="66">
        <f t="shared" si="8"/>
        <v>10</v>
      </c>
      <c r="AU23" s="48"/>
      <c r="AV23" s="48"/>
      <c r="AW23" s="48"/>
      <c r="AX23" s="48"/>
      <c r="AY23" s="48"/>
    </row>
    <row r="24" spans="1:51">
      <c r="A24" s="1">
        <f t="shared" si="10"/>
        <v>0.58333333333333337</v>
      </c>
      <c r="B24" s="1">
        <f t="shared" si="1"/>
        <v>0.60416666666666674</v>
      </c>
      <c r="C24" s="17"/>
      <c r="D24" s="17"/>
      <c r="E24" s="18"/>
      <c r="F24" s="18"/>
      <c r="G24" s="18"/>
      <c r="H24" s="18"/>
      <c r="I24" s="18"/>
      <c r="J24" s="18"/>
      <c r="K24" s="18"/>
      <c r="L24" s="18"/>
      <c r="O24" s="24">
        <v>48</v>
      </c>
      <c r="P24" s="24">
        <v>109</v>
      </c>
      <c r="Q24" s="24">
        <v>66</v>
      </c>
      <c r="R24" s="25">
        <v>9</v>
      </c>
      <c r="S24" s="25">
        <v>1</v>
      </c>
      <c r="T24" s="25">
        <v>1</v>
      </c>
      <c r="U24" s="25">
        <v>6</v>
      </c>
      <c r="V24" s="25">
        <v>0</v>
      </c>
      <c r="W24" s="25">
        <v>3</v>
      </c>
      <c r="X24" s="25">
        <f t="shared" si="2"/>
        <v>0</v>
      </c>
      <c r="Y24" s="26">
        <f t="shared" si="3"/>
        <v>123</v>
      </c>
      <c r="Z24" s="27">
        <f t="shared" si="4"/>
        <v>117</v>
      </c>
      <c r="AA24" s="27">
        <f t="shared" si="5"/>
        <v>3</v>
      </c>
      <c r="AB24" s="26">
        <f t="shared" si="6"/>
        <v>243</v>
      </c>
      <c r="AC24" s="28">
        <f t="shared" si="7"/>
        <v>175.5</v>
      </c>
      <c r="AG24" s="66">
        <f t="shared" si="8"/>
        <v>24</v>
      </c>
      <c r="AH24" s="66">
        <f t="shared" si="8"/>
        <v>54.5</v>
      </c>
      <c r="AI24" s="66">
        <f t="shared" si="8"/>
        <v>66</v>
      </c>
      <c r="AJ24" s="66">
        <f t="shared" si="8"/>
        <v>9</v>
      </c>
      <c r="AK24" s="66">
        <f t="shared" si="8"/>
        <v>1</v>
      </c>
      <c r="AL24" s="66">
        <f t="shared" si="8"/>
        <v>1.5</v>
      </c>
      <c r="AM24" s="66">
        <f t="shared" si="8"/>
        <v>12</v>
      </c>
      <c r="AN24" s="66">
        <f t="shared" si="8"/>
        <v>0</v>
      </c>
      <c r="AO24" s="66">
        <f t="shared" si="8"/>
        <v>7.5</v>
      </c>
      <c r="AU24" s="48"/>
      <c r="AV24" s="48"/>
      <c r="AW24" s="48"/>
      <c r="AX24" s="48"/>
      <c r="AY24" s="48"/>
    </row>
    <row r="25" spans="1:51">
      <c r="A25" s="2">
        <f t="shared" si="10"/>
        <v>0.60416666666666674</v>
      </c>
      <c r="B25" s="2">
        <f t="shared" si="1"/>
        <v>0.62500000000000011</v>
      </c>
      <c r="C25" s="19"/>
      <c r="D25" s="19"/>
      <c r="E25" s="20"/>
      <c r="F25" s="20"/>
      <c r="G25" s="20"/>
      <c r="H25" s="20"/>
      <c r="I25" s="20"/>
      <c r="J25" s="20"/>
      <c r="K25" s="20"/>
      <c r="L25" s="20"/>
      <c r="O25" s="29">
        <v>44</v>
      </c>
      <c r="P25" s="29">
        <v>145</v>
      </c>
      <c r="Q25" s="29">
        <v>69</v>
      </c>
      <c r="R25" s="30">
        <v>17</v>
      </c>
      <c r="S25" s="30">
        <v>0</v>
      </c>
      <c r="T25" s="30">
        <f t="shared" si="2"/>
        <v>0</v>
      </c>
      <c r="U25" s="30">
        <v>0</v>
      </c>
      <c r="V25" s="30">
        <v>3</v>
      </c>
      <c r="W25" s="30">
        <v>2</v>
      </c>
      <c r="X25" s="30">
        <f t="shared" si="2"/>
        <v>0</v>
      </c>
      <c r="Y25" s="31">
        <f t="shared" si="3"/>
        <v>130</v>
      </c>
      <c r="Z25" s="32">
        <f t="shared" si="4"/>
        <v>145</v>
      </c>
      <c r="AA25" s="32">
        <f t="shared" si="5"/>
        <v>5</v>
      </c>
      <c r="AB25" s="31">
        <f t="shared" si="6"/>
        <v>280</v>
      </c>
      <c r="AC25" s="33">
        <f t="shared" si="7"/>
        <v>190</v>
      </c>
      <c r="AG25" s="66">
        <f t="shared" si="8"/>
        <v>22</v>
      </c>
      <c r="AH25" s="66">
        <f t="shared" si="8"/>
        <v>72.5</v>
      </c>
      <c r="AI25" s="66">
        <f t="shared" si="8"/>
        <v>69</v>
      </c>
      <c r="AJ25" s="66">
        <f t="shared" si="8"/>
        <v>17</v>
      </c>
      <c r="AK25" s="66">
        <f t="shared" si="8"/>
        <v>0</v>
      </c>
      <c r="AL25" s="66">
        <f t="shared" si="8"/>
        <v>0</v>
      </c>
      <c r="AM25" s="66">
        <f t="shared" si="8"/>
        <v>0</v>
      </c>
      <c r="AN25" s="66">
        <f t="shared" si="8"/>
        <v>4.5</v>
      </c>
      <c r="AO25" s="66">
        <f t="shared" si="8"/>
        <v>5</v>
      </c>
      <c r="AU25" s="48"/>
      <c r="AV25" s="48"/>
      <c r="AW25" s="48"/>
      <c r="AX25" s="48"/>
      <c r="AY25" s="48"/>
    </row>
    <row r="26" spans="1:51">
      <c r="A26" s="3">
        <f t="shared" si="10"/>
        <v>0.62500000000000011</v>
      </c>
      <c r="B26" s="3">
        <f t="shared" si="1"/>
        <v>0.64583333333333348</v>
      </c>
      <c r="C26" s="21"/>
      <c r="D26" s="21"/>
      <c r="E26" s="22"/>
      <c r="F26" s="22"/>
      <c r="G26" s="22"/>
      <c r="H26" s="22"/>
      <c r="I26" s="22"/>
      <c r="J26" s="22"/>
      <c r="K26" s="22"/>
      <c r="L26" s="22"/>
      <c r="O26" s="34">
        <v>32</v>
      </c>
      <c r="P26" s="34">
        <v>110</v>
      </c>
      <c r="Q26" s="34">
        <v>39</v>
      </c>
      <c r="R26" s="35">
        <v>5</v>
      </c>
      <c r="S26" s="35">
        <v>0</v>
      </c>
      <c r="T26" s="35">
        <f t="shared" ref="O26:X47" si="14">H26-H25</f>
        <v>0</v>
      </c>
      <c r="U26" s="35">
        <v>1</v>
      </c>
      <c r="V26" s="35">
        <v>1</v>
      </c>
      <c r="W26" s="35">
        <v>3</v>
      </c>
      <c r="X26" s="35">
        <f t="shared" si="14"/>
        <v>0</v>
      </c>
      <c r="Y26" s="36">
        <f t="shared" si="3"/>
        <v>76</v>
      </c>
      <c r="Z26" s="37">
        <f t="shared" si="4"/>
        <v>111</v>
      </c>
      <c r="AA26" s="37">
        <f t="shared" si="5"/>
        <v>4</v>
      </c>
      <c r="AB26" s="36">
        <f t="shared" si="6"/>
        <v>191</v>
      </c>
      <c r="AC26" s="38">
        <f t="shared" si="7"/>
        <v>126</v>
      </c>
      <c r="AG26" s="66">
        <f t="shared" si="8"/>
        <v>16</v>
      </c>
      <c r="AH26" s="66">
        <f t="shared" si="8"/>
        <v>55</v>
      </c>
      <c r="AI26" s="66">
        <f t="shared" si="8"/>
        <v>39</v>
      </c>
      <c r="AJ26" s="66">
        <f t="shared" si="8"/>
        <v>5</v>
      </c>
      <c r="AK26" s="66">
        <f t="shared" si="8"/>
        <v>0</v>
      </c>
      <c r="AL26" s="66">
        <f t="shared" si="8"/>
        <v>0</v>
      </c>
      <c r="AM26" s="66">
        <f t="shared" si="8"/>
        <v>2</v>
      </c>
      <c r="AN26" s="66">
        <f t="shared" si="8"/>
        <v>1.5</v>
      </c>
      <c r="AO26" s="66">
        <f t="shared" si="8"/>
        <v>7.5</v>
      </c>
      <c r="AQ26" s="49">
        <f t="shared" ref="AQ26:AY26" si="15">SUM(O26:O29)</f>
        <v>177</v>
      </c>
      <c r="AR26" s="49">
        <f t="shared" si="15"/>
        <v>613</v>
      </c>
      <c r="AS26" s="49">
        <f t="shared" si="15"/>
        <v>163</v>
      </c>
      <c r="AT26" s="49">
        <f t="shared" si="15"/>
        <v>17</v>
      </c>
      <c r="AU26" s="49">
        <f t="shared" si="15"/>
        <v>1</v>
      </c>
      <c r="AV26" s="49">
        <f t="shared" si="15"/>
        <v>0</v>
      </c>
      <c r="AW26" s="49">
        <f t="shared" si="15"/>
        <v>8</v>
      </c>
      <c r="AX26" s="49">
        <f t="shared" si="15"/>
        <v>11</v>
      </c>
      <c r="AY26" s="49">
        <f t="shared" si="15"/>
        <v>16</v>
      </c>
    </row>
    <row r="27" spans="1:51">
      <c r="A27" s="1">
        <f t="shared" si="10"/>
        <v>0.64583333333333348</v>
      </c>
      <c r="B27" s="1">
        <f t="shared" si="1"/>
        <v>0.66666666666666685</v>
      </c>
      <c r="C27" s="17"/>
      <c r="D27" s="17"/>
      <c r="E27" s="18"/>
      <c r="F27" s="18"/>
      <c r="G27" s="18"/>
      <c r="H27" s="18"/>
      <c r="I27" s="18"/>
      <c r="J27" s="18"/>
      <c r="K27" s="18"/>
      <c r="L27" s="18"/>
      <c r="O27" s="24">
        <v>43</v>
      </c>
      <c r="P27" s="24">
        <v>145</v>
      </c>
      <c r="Q27" s="24">
        <v>45</v>
      </c>
      <c r="R27" s="25">
        <v>7</v>
      </c>
      <c r="S27" s="25">
        <v>0</v>
      </c>
      <c r="T27" s="25">
        <f t="shared" si="14"/>
        <v>0</v>
      </c>
      <c r="U27" s="25">
        <v>1</v>
      </c>
      <c r="V27" s="25">
        <v>2</v>
      </c>
      <c r="W27" s="25">
        <v>5</v>
      </c>
      <c r="X27" s="25">
        <f t="shared" si="14"/>
        <v>0</v>
      </c>
      <c r="Y27" s="26">
        <f t="shared" si="3"/>
        <v>95</v>
      </c>
      <c r="Z27" s="27">
        <f t="shared" si="4"/>
        <v>146</v>
      </c>
      <c r="AA27" s="27">
        <f t="shared" si="5"/>
        <v>7</v>
      </c>
      <c r="AB27" s="26">
        <f t="shared" si="6"/>
        <v>248</v>
      </c>
      <c r="AC27" s="28">
        <f t="shared" si="7"/>
        <v>163.5</v>
      </c>
      <c r="AG27" s="66">
        <f t="shared" si="8"/>
        <v>21.5</v>
      </c>
      <c r="AH27" s="66">
        <f t="shared" si="8"/>
        <v>72.5</v>
      </c>
      <c r="AI27" s="66">
        <f t="shared" si="8"/>
        <v>45</v>
      </c>
      <c r="AJ27" s="66">
        <f t="shared" si="8"/>
        <v>7</v>
      </c>
      <c r="AK27" s="66">
        <f t="shared" si="8"/>
        <v>0</v>
      </c>
      <c r="AL27" s="66">
        <f t="shared" si="8"/>
        <v>0</v>
      </c>
      <c r="AM27" s="66">
        <f t="shared" si="8"/>
        <v>2</v>
      </c>
      <c r="AN27" s="66">
        <f t="shared" si="8"/>
        <v>3</v>
      </c>
      <c r="AO27" s="66">
        <f t="shared" si="8"/>
        <v>12.5</v>
      </c>
      <c r="AU27" s="48"/>
      <c r="AV27" s="48"/>
      <c r="AW27" s="48"/>
      <c r="AX27" s="48"/>
      <c r="AY27" s="48"/>
    </row>
    <row r="28" spans="1:51">
      <c r="A28" s="1">
        <f t="shared" si="10"/>
        <v>0.66666666666666685</v>
      </c>
      <c r="B28" s="1">
        <f t="shared" si="1"/>
        <v>0.68750000000000022</v>
      </c>
      <c r="C28" s="17"/>
      <c r="D28" s="17"/>
      <c r="E28" s="18"/>
      <c r="F28" s="18"/>
      <c r="G28" s="18"/>
      <c r="H28" s="18"/>
      <c r="I28" s="18"/>
      <c r="J28" s="18"/>
      <c r="K28" s="18"/>
      <c r="L28" s="18"/>
      <c r="O28" s="24">
        <v>54</v>
      </c>
      <c r="P28" s="24">
        <v>175</v>
      </c>
      <c r="Q28" s="24">
        <v>41</v>
      </c>
      <c r="R28" s="25">
        <v>1</v>
      </c>
      <c r="S28" s="25">
        <v>1</v>
      </c>
      <c r="T28" s="25">
        <f t="shared" si="14"/>
        <v>0</v>
      </c>
      <c r="U28" s="25">
        <v>3</v>
      </c>
      <c r="V28" s="25">
        <v>4</v>
      </c>
      <c r="W28" s="25">
        <v>4</v>
      </c>
      <c r="X28" s="25">
        <f t="shared" si="14"/>
        <v>0</v>
      </c>
      <c r="Y28" s="26">
        <f t="shared" si="3"/>
        <v>96</v>
      </c>
      <c r="Z28" s="27">
        <f t="shared" si="4"/>
        <v>179</v>
      </c>
      <c r="AA28" s="27">
        <f t="shared" si="5"/>
        <v>8</v>
      </c>
      <c r="AB28" s="26">
        <f t="shared" si="6"/>
        <v>283</v>
      </c>
      <c r="AC28" s="28">
        <f t="shared" si="7"/>
        <v>179.5</v>
      </c>
      <c r="AG28" s="66">
        <f t="shared" si="8"/>
        <v>27</v>
      </c>
      <c r="AH28" s="66">
        <f t="shared" si="8"/>
        <v>87.5</v>
      </c>
      <c r="AI28" s="66">
        <f t="shared" si="8"/>
        <v>41</v>
      </c>
      <c r="AJ28" s="66">
        <f t="shared" si="8"/>
        <v>1</v>
      </c>
      <c r="AK28" s="66">
        <f t="shared" si="8"/>
        <v>1</v>
      </c>
      <c r="AL28" s="66">
        <f t="shared" si="8"/>
        <v>0</v>
      </c>
      <c r="AM28" s="66">
        <f t="shared" si="8"/>
        <v>6</v>
      </c>
      <c r="AN28" s="66">
        <f t="shared" si="8"/>
        <v>6</v>
      </c>
      <c r="AO28" s="66">
        <f t="shared" si="8"/>
        <v>10</v>
      </c>
      <c r="AU28" s="48"/>
      <c r="AV28" s="48"/>
      <c r="AW28" s="48"/>
      <c r="AX28" s="48"/>
      <c r="AY28" s="48"/>
    </row>
    <row r="29" spans="1:51" ht="15.75" thickBot="1">
      <c r="A29" s="4">
        <f t="shared" si="10"/>
        <v>0.68750000000000022</v>
      </c>
      <c r="B29" s="4">
        <f t="shared" si="1"/>
        <v>0.70833333333333359</v>
      </c>
      <c r="C29" s="19"/>
      <c r="D29" s="19"/>
      <c r="E29" s="20"/>
      <c r="F29" s="20"/>
      <c r="G29" s="20"/>
      <c r="H29" s="20"/>
      <c r="I29" s="20"/>
      <c r="J29" s="20"/>
      <c r="K29" s="20"/>
      <c r="L29" s="20"/>
      <c r="O29" s="39">
        <v>48</v>
      </c>
      <c r="P29" s="39">
        <v>183</v>
      </c>
      <c r="Q29" s="39">
        <v>38</v>
      </c>
      <c r="R29" s="40">
        <v>4</v>
      </c>
      <c r="S29" s="40">
        <v>0</v>
      </c>
      <c r="T29" s="40">
        <f t="shared" si="14"/>
        <v>0</v>
      </c>
      <c r="U29" s="40">
        <v>3</v>
      </c>
      <c r="V29" s="40">
        <v>4</v>
      </c>
      <c r="W29" s="40">
        <v>4</v>
      </c>
      <c r="X29" s="40">
        <f t="shared" si="14"/>
        <v>0</v>
      </c>
      <c r="Y29" s="41">
        <f t="shared" si="3"/>
        <v>90</v>
      </c>
      <c r="Z29" s="42">
        <f t="shared" si="4"/>
        <v>186</v>
      </c>
      <c r="AA29" s="42">
        <f t="shared" si="5"/>
        <v>8</v>
      </c>
      <c r="AB29" s="41">
        <f t="shared" si="6"/>
        <v>284</v>
      </c>
      <c r="AC29" s="43">
        <f t="shared" si="7"/>
        <v>179.5</v>
      </c>
      <c r="AG29" s="66">
        <f t="shared" si="8"/>
        <v>24</v>
      </c>
      <c r="AH29" s="66">
        <f t="shared" si="8"/>
        <v>91.5</v>
      </c>
      <c r="AI29" s="66">
        <f t="shared" si="8"/>
        <v>38</v>
      </c>
      <c r="AJ29" s="66">
        <f t="shared" si="8"/>
        <v>4</v>
      </c>
      <c r="AK29" s="66">
        <f t="shared" si="8"/>
        <v>0</v>
      </c>
      <c r="AL29" s="66">
        <f t="shared" si="8"/>
        <v>0</v>
      </c>
      <c r="AM29" s="66">
        <f t="shared" si="8"/>
        <v>6</v>
      </c>
      <c r="AN29" s="66">
        <f t="shared" si="8"/>
        <v>6</v>
      </c>
      <c r="AO29" s="66">
        <f t="shared" si="8"/>
        <v>10</v>
      </c>
      <c r="AU29" s="48"/>
      <c r="AV29" s="48"/>
      <c r="AW29" s="48"/>
      <c r="AX29" s="48"/>
      <c r="AY29" s="48"/>
    </row>
    <row r="30" spans="1:51">
      <c r="A30" s="3">
        <f t="shared" si="10"/>
        <v>0.70833333333333359</v>
      </c>
      <c r="B30" s="3">
        <f t="shared" si="1"/>
        <v>0.72916666666666696</v>
      </c>
      <c r="C30" s="21"/>
      <c r="D30" s="21"/>
      <c r="E30" s="22"/>
      <c r="F30" s="22"/>
      <c r="G30" s="22"/>
      <c r="H30" s="22"/>
      <c r="I30" s="22"/>
      <c r="J30" s="22"/>
      <c r="K30" s="22"/>
      <c r="L30" s="22"/>
      <c r="O30" s="34">
        <v>93</v>
      </c>
      <c r="P30" s="34">
        <v>320</v>
      </c>
      <c r="Q30" s="34">
        <v>42</v>
      </c>
      <c r="R30" s="35">
        <v>0</v>
      </c>
      <c r="S30" s="35">
        <v>1</v>
      </c>
      <c r="T30" s="35">
        <f t="shared" si="14"/>
        <v>0</v>
      </c>
      <c r="U30" s="35">
        <v>0</v>
      </c>
      <c r="V30" s="35">
        <v>4</v>
      </c>
      <c r="W30" s="35">
        <v>8</v>
      </c>
      <c r="X30" s="35">
        <f t="shared" si="14"/>
        <v>0</v>
      </c>
      <c r="Y30" s="36">
        <f t="shared" si="3"/>
        <v>135</v>
      </c>
      <c r="Z30" s="37">
        <f t="shared" si="4"/>
        <v>321</v>
      </c>
      <c r="AA30" s="37">
        <f t="shared" si="5"/>
        <v>12</v>
      </c>
      <c r="AB30" s="36">
        <f t="shared" si="6"/>
        <v>468</v>
      </c>
      <c r="AC30" s="38">
        <f t="shared" si="7"/>
        <v>275.5</v>
      </c>
      <c r="AG30" s="66">
        <f t="shared" si="8"/>
        <v>46.5</v>
      </c>
      <c r="AH30" s="66">
        <f t="shared" si="8"/>
        <v>160</v>
      </c>
      <c r="AI30" s="66">
        <f t="shared" si="8"/>
        <v>42</v>
      </c>
      <c r="AJ30" s="66">
        <f t="shared" si="8"/>
        <v>0</v>
      </c>
      <c r="AK30" s="66">
        <f t="shared" si="8"/>
        <v>1</v>
      </c>
      <c r="AL30" s="66">
        <f t="shared" si="8"/>
        <v>0</v>
      </c>
      <c r="AM30" s="66">
        <f t="shared" si="8"/>
        <v>0</v>
      </c>
      <c r="AN30" s="66">
        <f t="shared" si="8"/>
        <v>6</v>
      </c>
      <c r="AO30" s="66">
        <f t="shared" si="8"/>
        <v>20</v>
      </c>
      <c r="AQ30" s="49">
        <f t="shared" ref="AQ30:AY30" si="16">SUM(O30:O33)</f>
        <v>247</v>
      </c>
      <c r="AR30" s="49">
        <f t="shared" si="16"/>
        <v>904</v>
      </c>
      <c r="AS30" s="49">
        <f t="shared" si="16"/>
        <v>115</v>
      </c>
      <c r="AT30" s="49">
        <f t="shared" si="16"/>
        <v>37</v>
      </c>
      <c r="AU30" s="49">
        <f t="shared" si="16"/>
        <v>2</v>
      </c>
      <c r="AV30" s="49">
        <f t="shared" si="16"/>
        <v>0</v>
      </c>
      <c r="AW30" s="49">
        <f t="shared" si="16"/>
        <v>0</v>
      </c>
      <c r="AX30" s="49">
        <f t="shared" si="16"/>
        <v>11</v>
      </c>
      <c r="AY30" s="49">
        <f t="shared" si="16"/>
        <v>18</v>
      </c>
    </row>
    <row r="31" spans="1:51">
      <c r="A31" s="1">
        <f t="shared" si="10"/>
        <v>0.72916666666666696</v>
      </c>
      <c r="B31" s="1">
        <f t="shared" si="1"/>
        <v>0.75000000000000033</v>
      </c>
      <c r="C31" s="17"/>
      <c r="D31" s="17"/>
      <c r="E31" s="18"/>
      <c r="F31" s="18"/>
      <c r="G31" s="18"/>
      <c r="H31" s="18"/>
      <c r="I31" s="18"/>
      <c r="J31" s="18"/>
      <c r="K31" s="18"/>
      <c r="L31" s="18"/>
      <c r="O31" s="24">
        <v>68</v>
      </c>
      <c r="P31" s="24">
        <v>222</v>
      </c>
      <c r="Q31" s="24">
        <v>26</v>
      </c>
      <c r="R31" s="25">
        <v>15</v>
      </c>
      <c r="S31" s="25">
        <v>1</v>
      </c>
      <c r="T31" s="25">
        <f t="shared" si="14"/>
        <v>0</v>
      </c>
      <c r="U31" s="25">
        <v>0</v>
      </c>
      <c r="V31" s="25">
        <v>2</v>
      </c>
      <c r="W31" s="25">
        <v>6</v>
      </c>
      <c r="X31" s="25">
        <f t="shared" si="14"/>
        <v>0</v>
      </c>
      <c r="Y31" s="26">
        <f t="shared" si="3"/>
        <v>109</v>
      </c>
      <c r="Z31" s="27">
        <f t="shared" si="4"/>
        <v>223</v>
      </c>
      <c r="AA31" s="27">
        <f t="shared" si="5"/>
        <v>8</v>
      </c>
      <c r="AB31" s="26">
        <f t="shared" si="6"/>
        <v>340</v>
      </c>
      <c r="AC31" s="28">
        <f t="shared" si="7"/>
        <v>205</v>
      </c>
      <c r="AG31" s="66">
        <f t="shared" si="8"/>
        <v>34</v>
      </c>
      <c r="AH31" s="66">
        <f t="shared" si="8"/>
        <v>111</v>
      </c>
      <c r="AI31" s="66">
        <f t="shared" si="8"/>
        <v>26</v>
      </c>
      <c r="AJ31" s="66">
        <f t="shared" si="8"/>
        <v>15</v>
      </c>
      <c r="AK31" s="66">
        <f t="shared" si="8"/>
        <v>1</v>
      </c>
      <c r="AL31" s="66">
        <f t="shared" si="8"/>
        <v>0</v>
      </c>
      <c r="AM31" s="66">
        <f t="shared" si="8"/>
        <v>0</v>
      </c>
      <c r="AN31" s="66">
        <f t="shared" si="8"/>
        <v>3</v>
      </c>
      <c r="AO31" s="66">
        <f t="shared" si="8"/>
        <v>15</v>
      </c>
      <c r="AU31" s="48"/>
      <c r="AV31" s="48"/>
      <c r="AW31" s="48"/>
      <c r="AX31" s="48"/>
      <c r="AY31" s="48"/>
    </row>
    <row r="32" spans="1:51">
      <c r="A32" s="1">
        <f t="shared" si="10"/>
        <v>0.75000000000000033</v>
      </c>
      <c r="B32" s="1">
        <f t="shared" si="1"/>
        <v>0.7708333333333337</v>
      </c>
      <c r="C32" s="17"/>
      <c r="D32" s="17"/>
      <c r="E32" s="18"/>
      <c r="F32" s="18"/>
      <c r="G32" s="18"/>
      <c r="H32" s="18"/>
      <c r="I32" s="18"/>
      <c r="J32" s="18"/>
      <c r="K32" s="18"/>
      <c r="L32" s="18"/>
      <c r="O32" s="24">
        <v>45</v>
      </c>
      <c r="P32" s="24">
        <v>178</v>
      </c>
      <c r="Q32" s="24">
        <v>25</v>
      </c>
      <c r="R32" s="25">
        <v>11</v>
      </c>
      <c r="S32" s="25">
        <f t="shared" si="14"/>
        <v>0</v>
      </c>
      <c r="T32" s="25">
        <f t="shared" si="14"/>
        <v>0</v>
      </c>
      <c r="U32" s="25">
        <v>0</v>
      </c>
      <c r="V32" s="25">
        <v>3</v>
      </c>
      <c r="W32" s="25">
        <v>1</v>
      </c>
      <c r="X32" s="25">
        <f t="shared" si="14"/>
        <v>0</v>
      </c>
      <c r="Y32" s="26">
        <f t="shared" si="3"/>
        <v>81</v>
      </c>
      <c r="Z32" s="27">
        <f t="shared" si="4"/>
        <v>178</v>
      </c>
      <c r="AA32" s="27">
        <f t="shared" si="5"/>
        <v>4</v>
      </c>
      <c r="AB32" s="26">
        <f t="shared" si="6"/>
        <v>263</v>
      </c>
      <c r="AC32" s="28">
        <f t="shared" si="7"/>
        <v>154.5</v>
      </c>
      <c r="AG32" s="66">
        <f t="shared" si="8"/>
        <v>22.5</v>
      </c>
      <c r="AH32" s="66">
        <f t="shared" si="8"/>
        <v>89</v>
      </c>
      <c r="AI32" s="66">
        <f t="shared" si="8"/>
        <v>25</v>
      </c>
      <c r="AJ32" s="66">
        <f t="shared" si="8"/>
        <v>11</v>
      </c>
      <c r="AK32" s="66">
        <f t="shared" si="8"/>
        <v>0</v>
      </c>
      <c r="AL32" s="66">
        <f t="shared" si="8"/>
        <v>0</v>
      </c>
      <c r="AM32" s="66">
        <f t="shared" si="8"/>
        <v>0</v>
      </c>
      <c r="AN32" s="66">
        <f t="shared" si="8"/>
        <v>4.5</v>
      </c>
      <c r="AO32" s="66">
        <f t="shared" si="8"/>
        <v>2.5</v>
      </c>
      <c r="AU32" s="48"/>
      <c r="AV32" s="48"/>
      <c r="AW32" s="48"/>
      <c r="AX32" s="48"/>
      <c r="AY32" s="48"/>
    </row>
    <row r="33" spans="1:51">
      <c r="A33" s="2">
        <f t="shared" si="10"/>
        <v>0.7708333333333337</v>
      </c>
      <c r="B33" s="2">
        <f t="shared" si="1"/>
        <v>0.79166666666666707</v>
      </c>
      <c r="C33" s="19"/>
      <c r="D33" s="19"/>
      <c r="E33" s="20"/>
      <c r="F33" s="20"/>
      <c r="G33" s="20"/>
      <c r="H33" s="20"/>
      <c r="I33" s="20"/>
      <c r="J33" s="20"/>
      <c r="K33" s="20"/>
      <c r="L33" s="20"/>
      <c r="O33" s="29">
        <v>41</v>
      </c>
      <c r="P33" s="29">
        <v>184</v>
      </c>
      <c r="Q33" s="29">
        <v>22</v>
      </c>
      <c r="R33" s="30">
        <v>11</v>
      </c>
      <c r="S33" s="30">
        <f t="shared" si="14"/>
        <v>0</v>
      </c>
      <c r="T33" s="30">
        <f t="shared" si="14"/>
        <v>0</v>
      </c>
      <c r="U33" s="30">
        <v>0</v>
      </c>
      <c r="V33" s="30">
        <v>2</v>
      </c>
      <c r="W33" s="30">
        <v>3</v>
      </c>
      <c r="X33" s="30">
        <f t="shared" si="14"/>
        <v>0</v>
      </c>
      <c r="Y33" s="31">
        <f t="shared" si="3"/>
        <v>74</v>
      </c>
      <c r="Z33" s="32">
        <f t="shared" si="4"/>
        <v>184</v>
      </c>
      <c r="AA33" s="32">
        <f t="shared" si="5"/>
        <v>5</v>
      </c>
      <c r="AB33" s="31">
        <f t="shared" si="6"/>
        <v>263</v>
      </c>
      <c r="AC33" s="33">
        <f t="shared" si="7"/>
        <v>156</v>
      </c>
      <c r="AG33" s="66">
        <f t="shared" si="8"/>
        <v>20.5</v>
      </c>
      <c r="AH33" s="66">
        <f t="shared" si="8"/>
        <v>92</v>
      </c>
      <c r="AI33" s="66">
        <f t="shared" si="8"/>
        <v>22</v>
      </c>
      <c r="AJ33" s="66">
        <f t="shared" si="8"/>
        <v>11</v>
      </c>
      <c r="AK33" s="66">
        <f t="shared" si="8"/>
        <v>0</v>
      </c>
      <c r="AL33" s="66">
        <f t="shared" si="8"/>
        <v>0</v>
      </c>
      <c r="AM33" s="66">
        <f t="shared" si="8"/>
        <v>0</v>
      </c>
      <c r="AN33" s="66">
        <f t="shared" si="8"/>
        <v>3</v>
      </c>
      <c r="AO33" s="66">
        <f t="shared" si="8"/>
        <v>7.5</v>
      </c>
      <c r="AU33" s="48"/>
      <c r="AV33" s="48"/>
      <c r="AW33" s="48"/>
      <c r="AX33" s="48"/>
      <c r="AY33" s="48"/>
    </row>
    <row r="34" spans="1:51">
      <c r="A34" s="3">
        <f t="shared" si="10"/>
        <v>0.79166666666666707</v>
      </c>
      <c r="B34" s="3">
        <f t="shared" si="1"/>
        <v>0.81250000000000044</v>
      </c>
      <c r="C34" s="21"/>
      <c r="D34" s="21"/>
      <c r="E34" s="22"/>
      <c r="F34" s="22"/>
      <c r="G34" s="22"/>
      <c r="H34" s="22"/>
      <c r="I34" s="22"/>
      <c r="J34" s="22"/>
      <c r="K34" s="22"/>
      <c r="L34" s="22"/>
      <c r="O34" s="34">
        <v>41</v>
      </c>
      <c r="P34" s="34">
        <v>143</v>
      </c>
      <c r="Q34" s="34">
        <v>16</v>
      </c>
      <c r="R34" s="35">
        <v>14</v>
      </c>
      <c r="S34" s="35">
        <f t="shared" si="14"/>
        <v>0</v>
      </c>
      <c r="T34" s="35">
        <f t="shared" si="14"/>
        <v>0</v>
      </c>
      <c r="U34" s="35">
        <v>1</v>
      </c>
      <c r="V34" s="35">
        <f t="shared" si="14"/>
        <v>0</v>
      </c>
      <c r="W34" s="35">
        <v>2</v>
      </c>
      <c r="X34" s="35">
        <f t="shared" si="14"/>
        <v>0</v>
      </c>
      <c r="Y34" s="36">
        <f t="shared" si="3"/>
        <v>71</v>
      </c>
      <c r="Z34" s="37">
        <f t="shared" si="4"/>
        <v>144</v>
      </c>
      <c r="AA34" s="37">
        <f t="shared" si="5"/>
        <v>2</v>
      </c>
      <c r="AB34" s="36">
        <f t="shared" si="6"/>
        <v>217</v>
      </c>
      <c r="AC34" s="38">
        <f t="shared" si="7"/>
        <v>129</v>
      </c>
      <c r="AG34" s="66">
        <f t="shared" si="8"/>
        <v>20.5</v>
      </c>
      <c r="AH34" s="66">
        <f t="shared" si="8"/>
        <v>71.5</v>
      </c>
      <c r="AI34" s="66">
        <f t="shared" si="8"/>
        <v>16</v>
      </c>
      <c r="AJ34" s="66">
        <f t="shared" si="8"/>
        <v>14</v>
      </c>
      <c r="AK34" s="66">
        <f t="shared" si="8"/>
        <v>0</v>
      </c>
      <c r="AL34" s="66">
        <f t="shared" si="8"/>
        <v>0</v>
      </c>
      <c r="AM34" s="66">
        <f t="shared" si="8"/>
        <v>2</v>
      </c>
      <c r="AN34" s="66">
        <f t="shared" si="8"/>
        <v>0</v>
      </c>
      <c r="AO34" s="66">
        <f t="shared" si="8"/>
        <v>5</v>
      </c>
      <c r="AQ34" s="49">
        <f t="shared" ref="AQ34:AY34" si="17">SUM(O34:O37)</f>
        <v>100</v>
      </c>
      <c r="AR34" s="49">
        <f t="shared" si="17"/>
        <v>460</v>
      </c>
      <c r="AS34" s="49">
        <f t="shared" si="17"/>
        <v>53</v>
      </c>
      <c r="AT34" s="49">
        <f t="shared" si="17"/>
        <v>54</v>
      </c>
      <c r="AU34" s="49">
        <f t="shared" si="17"/>
        <v>0</v>
      </c>
      <c r="AV34" s="49">
        <f t="shared" si="17"/>
        <v>0</v>
      </c>
      <c r="AW34" s="49">
        <f t="shared" si="17"/>
        <v>1</v>
      </c>
      <c r="AX34" s="49">
        <f t="shared" si="17"/>
        <v>0</v>
      </c>
      <c r="AY34" s="49">
        <f t="shared" si="17"/>
        <v>5</v>
      </c>
    </row>
    <row r="35" spans="1:51">
      <c r="A35" s="1">
        <f t="shared" si="10"/>
        <v>0.81250000000000044</v>
      </c>
      <c r="B35" s="1">
        <f t="shared" si="1"/>
        <v>0.83333333333333381</v>
      </c>
      <c r="C35" s="17"/>
      <c r="D35" s="17"/>
      <c r="E35" s="18"/>
      <c r="F35" s="18"/>
      <c r="G35" s="18"/>
      <c r="H35" s="18"/>
      <c r="I35" s="18"/>
      <c r="J35" s="18"/>
      <c r="K35" s="18"/>
      <c r="L35" s="18"/>
      <c r="O35" s="24">
        <v>24</v>
      </c>
      <c r="P35" s="24">
        <v>127</v>
      </c>
      <c r="Q35" s="24">
        <v>16</v>
      </c>
      <c r="R35" s="25">
        <v>14</v>
      </c>
      <c r="S35" s="25">
        <f t="shared" si="14"/>
        <v>0</v>
      </c>
      <c r="T35" s="25">
        <f t="shared" si="14"/>
        <v>0</v>
      </c>
      <c r="U35" s="25">
        <f t="shared" si="14"/>
        <v>0</v>
      </c>
      <c r="V35" s="25">
        <f t="shared" si="14"/>
        <v>0</v>
      </c>
      <c r="W35" s="25">
        <v>0</v>
      </c>
      <c r="X35" s="25">
        <f t="shared" si="14"/>
        <v>0</v>
      </c>
      <c r="Y35" s="26">
        <f t="shared" si="3"/>
        <v>54</v>
      </c>
      <c r="Z35" s="27">
        <f t="shared" si="4"/>
        <v>127</v>
      </c>
      <c r="AA35" s="27">
        <f t="shared" si="5"/>
        <v>0</v>
      </c>
      <c r="AB35" s="26">
        <f t="shared" si="6"/>
        <v>181</v>
      </c>
      <c r="AC35" s="28">
        <f t="shared" si="7"/>
        <v>105.5</v>
      </c>
      <c r="AG35" s="66">
        <f t="shared" si="8"/>
        <v>12</v>
      </c>
      <c r="AH35" s="66">
        <f t="shared" si="8"/>
        <v>63.5</v>
      </c>
      <c r="AI35" s="66">
        <f t="shared" si="8"/>
        <v>16</v>
      </c>
      <c r="AJ35" s="66">
        <f t="shared" si="8"/>
        <v>14</v>
      </c>
      <c r="AK35" s="66">
        <f t="shared" si="8"/>
        <v>0</v>
      </c>
      <c r="AL35" s="66">
        <f t="shared" si="8"/>
        <v>0</v>
      </c>
      <c r="AM35" s="66">
        <f t="shared" si="8"/>
        <v>0</v>
      </c>
      <c r="AN35" s="66">
        <f t="shared" si="8"/>
        <v>0</v>
      </c>
      <c r="AO35" s="66">
        <f t="shared" si="8"/>
        <v>0</v>
      </c>
      <c r="AU35" s="48"/>
      <c r="AV35" s="48"/>
      <c r="AW35" s="48"/>
      <c r="AX35" s="48"/>
      <c r="AY35" s="48"/>
    </row>
    <row r="36" spans="1:51">
      <c r="A36" s="1">
        <f t="shared" si="10"/>
        <v>0.83333333333333381</v>
      </c>
      <c r="B36" s="1">
        <f t="shared" si="1"/>
        <v>0.85416666666666718</v>
      </c>
      <c r="C36" s="17"/>
      <c r="D36" s="17"/>
      <c r="E36" s="18"/>
      <c r="F36" s="18"/>
      <c r="G36" s="18"/>
      <c r="H36" s="18"/>
      <c r="I36" s="18"/>
      <c r="J36" s="18"/>
      <c r="K36" s="18"/>
      <c r="L36" s="18"/>
      <c r="O36" s="24">
        <v>24</v>
      </c>
      <c r="P36" s="24">
        <v>99</v>
      </c>
      <c r="Q36" s="24">
        <v>12</v>
      </c>
      <c r="R36" s="25">
        <v>11</v>
      </c>
      <c r="S36" s="25">
        <f t="shared" si="14"/>
        <v>0</v>
      </c>
      <c r="T36" s="25">
        <f t="shared" si="14"/>
        <v>0</v>
      </c>
      <c r="U36" s="25">
        <f t="shared" si="14"/>
        <v>0</v>
      </c>
      <c r="V36" s="25">
        <f t="shared" si="14"/>
        <v>0</v>
      </c>
      <c r="W36" s="25">
        <v>3</v>
      </c>
      <c r="X36" s="25">
        <f t="shared" si="14"/>
        <v>0</v>
      </c>
      <c r="Y36" s="26">
        <f t="shared" si="3"/>
        <v>47</v>
      </c>
      <c r="Z36" s="27">
        <f t="shared" si="4"/>
        <v>99</v>
      </c>
      <c r="AA36" s="27">
        <f t="shared" si="5"/>
        <v>3</v>
      </c>
      <c r="AB36" s="26">
        <f t="shared" si="6"/>
        <v>149</v>
      </c>
      <c r="AC36" s="28">
        <f t="shared" si="7"/>
        <v>92</v>
      </c>
      <c r="AG36" s="66">
        <f t="shared" si="8"/>
        <v>12</v>
      </c>
      <c r="AH36" s="66">
        <f t="shared" si="8"/>
        <v>49.5</v>
      </c>
      <c r="AI36" s="66">
        <f t="shared" si="8"/>
        <v>12</v>
      </c>
      <c r="AJ36" s="66">
        <f t="shared" si="8"/>
        <v>11</v>
      </c>
      <c r="AK36" s="66">
        <f t="shared" si="8"/>
        <v>0</v>
      </c>
      <c r="AL36" s="66">
        <f t="shared" si="8"/>
        <v>0</v>
      </c>
      <c r="AM36" s="66">
        <f t="shared" si="8"/>
        <v>0</v>
      </c>
      <c r="AN36" s="66">
        <f t="shared" si="8"/>
        <v>0</v>
      </c>
      <c r="AO36" s="66">
        <f t="shared" si="8"/>
        <v>7.5</v>
      </c>
      <c r="AU36" s="48"/>
      <c r="AV36" s="48"/>
      <c r="AW36" s="48"/>
      <c r="AX36" s="48"/>
      <c r="AY36" s="48"/>
    </row>
    <row r="37" spans="1:51">
      <c r="A37" s="2">
        <f t="shared" si="10"/>
        <v>0.85416666666666718</v>
      </c>
      <c r="B37" s="2">
        <f t="shared" si="1"/>
        <v>0.87500000000000056</v>
      </c>
      <c r="C37" s="19"/>
      <c r="D37" s="19"/>
      <c r="E37" s="20"/>
      <c r="F37" s="20"/>
      <c r="G37" s="20"/>
      <c r="H37" s="20"/>
      <c r="I37" s="20"/>
      <c r="J37" s="20"/>
      <c r="K37" s="20"/>
      <c r="L37" s="20"/>
      <c r="O37" s="29">
        <v>11</v>
      </c>
      <c r="P37" s="29">
        <v>91</v>
      </c>
      <c r="Q37" s="29">
        <v>9</v>
      </c>
      <c r="R37" s="30">
        <v>15</v>
      </c>
      <c r="S37" s="30">
        <f t="shared" si="14"/>
        <v>0</v>
      </c>
      <c r="T37" s="30">
        <f t="shared" si="14"/>
        <v>0</v>
      </c>
      <c r="U37" s="30">
        <f t="shared" si="14"/>
        <v>0</v>
      </c>
      <c r="V37" s="30">
        <f t="shared" si="14"/>
        <v>0</v>
      </c>
      <c r="W37" s="30">
        <v>0</v>
      </c>
      <c r="X37" s="30">
        <f t="shared" si="14"/>
        <v>0</v>
      </c>
      <c r="Y37" s="31">
        <f t="shared" si="3"/>
        <v>35</v>
      </c>
      <c r="Z37" s="32">
        <f t="shared" si="4"/>
        <v>91</v>
      </c>
      <c r="AA37" s="32">
        <f t="shared" si="5"/>
        <v>0</v>
      </c>
      <c r="AB37" s="31">
        <f t="shared" si="6"/>
        <v>126</v>
      </c>
      <c r="AC37" s="33">
        <f t="shared" si="7"/>
        <v>75</v>
      </c>
      <c r="AG37" s="66">
        <f t="shared" si="8"/>
        <v>5.5</v>
      </c>
      <c r="AH37" s="66">
        <f t="shared" si="8"/>
        <v>45.5</v>
      </c>
      <c r="AI37" s="66">
        <f t="shared" si="8"/>
        <v>9</v>
      </c>
      <c r="AJ37" s="66">
        <f t="shared" si="8"/>
        <v>15</v>
      </c>
      <c r="AK37" s="66">
        <f t="shared" si="8"/>
        <v>0</v>
      </c>
      <c r="AL37" s="66">
        <f t="shared" si="8"/>
        <v>0</v>
      </c>
      <c r="AM37" s="66">
        <f t="shared" si="8"/>
        <v>0</v>
      </c>
      <c r="AN37" s="66">
        <f t="shared" si="8"/>
        <v>0</v>
      </c>
      <c r="AO37" s="66">
        <f t="shared" si="8"/>
        <v>0</v>
      </c>
      <c r="AU37" s="48"/>
      <c r="AV37" s="48"/>
      <c r="AW37" s="48"/>
      <c r="AX37" s="48"/>
      <c r="AY37" s="48"/>
    </row>
    <row r="38" spans="1:51">
      <c r="A38" s="3">
        <f t="shared" si="10"/>
        <v>0.87500000000000056</v>
      </c>
      <c r="B38" s="3">
        <f t="shared" si="1"/>
        <v>0.89583333333333393</v>
      </c>
      <c r="C38" s="21"/>
      <c r="D38" s="21"/>
      <c r="E38" s="22"/>
      <c r="F38" s="22"/>
      <c r="G38" s="22"/>
      <c r="H38" s="22"/>
      <c r="I38" s="22"/>
      <c r="J38" s="22"/>
      <c r="K38" s="22"/>
      <c r="L38" s="22"/>
      <c r="O38" s="34">
        <f t="shared" si="14"/>
        <v>0</v>
      </c>
      <c r="P38" s="34">
        <f t="shared" si="14"/>
        <v>0</v>
      </c>
      <c r="Q38" s="34">
        <f t="shared" si="14"/>
        <v>0</v>
      </c>
      <c r="R38" s="35">
        <f t="shared" si="14"/>
        <v>0</v>
      </c>
      <c r="S38" s="35">
        <f t="shared" si="14"/>
        <v>0</v>
      </c>
      <c r="T38" s="35">
        <f t="shared" si="14"/>
        <v>0</v>
      </c>
      <c r="U38" s="35">
        <f t="shared" si="14"/>
        <v>0</v>
      </c>
      <c r="V38" s="35">
        <f t="shared" si="14"/>
        <v>0</v>
      </c>
      <c r="W38" s="35">
        <f t="shared" si="14"/>
        <v>0</v>
      </c>
      <c r="X38" s="35">
        <f t="shared" si="14"/>
        <v>0</v>
      </c>
      <c r="Y38" s="36">
        <f t="shared" si="3"/>
        <v>0</v>
      </c>
      <c r="Z38" s="37">
        <f t="shared" si="4"/>
        <v>0</v>
      </c>
      <c r="AA38" s="37">
        <f t="shared" si="5"/>
        <v>0</v>
      </c>
      <c r="AB38" s="36">
        <f t="shared" si="6"/>
        <v>0</v>
      </c>
      <c r="AC38" s="38">
        <f t="shared" si="7"/>
        <v>0</v>
      </c>
      <c r="AG38" s="66">
        <f t="shared" ref="AG38:AO65" si="18">O38*O$8</f>
        <v>0</v>
      </c>
      <c r="AH38" s="66">
        <f t="shared" si="18"/>
        <v>0</v>
      </c>
      <c r="AI38" s="66">
        <f t="shared" si="18"/>
        <v>0</v>
      </c>
      <c r="AJ38" s="66">
        <f t="shared" si="18"/>
        <v>0</v>
      </c>
      <c r="AK38" s="66">
        <f t="shared" si="18"/>
        <v>0</v>
      </c>
      <c r="AL38" s="66">
        <f t="shared" si="18"/>
        <v>0</v>
      </c>
      <c r="AM38" s="66">
        <f t="shared" si="18"/>
        <v>0</v>
      </c>
      <c r="AN38" s="66">
        <f t="shared" si="18"/>
        <v>0</v>
      </c>
      <c r="AO38" s="66">
        <f t="shared" si="18"/>
        <v>0</v>
      </c>
      <c r="AQ38" s="49">
        <f t="shared" ref="AQ38:AY38" si="19">SUM(O38:O41)</f>
        <v>0</v>
      </c>
      <c r="AR38" s="49">
        <f t="shared" si="19"/>
        <v>0</v>
      </c>
      <c r="AS38" s="49">
        <f t="shared" si="19"/>
        <v>0</v>
      </c>
      <c r="AT38" s="49">
        <f t="shared" si="19"/>
        <v>0</v>
      </c>
      <c r="AU38" s="49">
        <f t="shared" si="19"/>
        <v>0</v>
      </c>
      <c r="AV38" s="49">
        <f t="shared" si="19"/>
        <v>0</v>
      </c>
      <c r="AW38" s="49">
        <f t="shared" si="19"/>
        <v>0</v>
      </c>
      <c r="AX38" s="49">
        <f t="shared" si="19"/>
        <v>0</v>
      </c>
      <c r="AY38" s="49">
        <f t="shared" si="19"/>
        <v>0</v>
      </c>
    </row>
    <row r="39" spans="1:51">
      <c r="A39" s="1">
        <f t="shared" si="10"/>
        <v>0.89583333333333393</v>
      </c>
      <c r="B39" s="1">
        <f t="shared" si="1"/>
        <v>0.9166666666666673</v>
      </c>
      <c r="C39" s="17"/>
      <c r="D39" s="17"/>
      <c r="E39" s="18"/>
      <c r="F39" s="18"/>
      <c r="G39" s="18"/>
      <c r="H39" s="18"/>
      <c r="I39" s="18"/>
      <c r="J39" s="18"/>
      <c r="K39" s="18"/>
      <c r="L39" s="18"/>
      <c r="O39" s="24">
        <f t="shared" si="14"/>
        <v>0</v>
      </c>
      <c r="P39" s="24">
        <f t="shared" si="14"/>
        <v>0</v>
      </c>
      <c r="Q39" s="24">
        <f t="shared" si="14"/>
        <v>0</v>
      </c>
      <c r="R39" s="25">
        <f t="shared" si="14"/>
        <v>0</v>
      </c>
      <c r="S39" s="25">
        <f t="shared" si="14"/>
        <v>0</v>
      </c>
      <c r="T39" s="25">
        <f t="shared" si="14"/>
        <v>0</v>
      </c>
      <c r="U39" s="25">
        <f t="shared" si="14"/>
        <v>0</v>
      </c>
      <c r="V39" s="25">
        <f t="shared" si="14"/>
        <v>0</v>
      </c>
      <c r="W39" s="25">
        <f t="shared" si="14"/>
        <v>0</v>
      </c>
      <c r="X39" s="25">
        <f t="shared" si="14"/>
        <v>0</v>
      </c>
      <c r="Y39" s="26">
        <f t="shared" si="3"/>
        <v>0</v>
      </c>
      <c r="Z39" s="27">
        <f t="shared" si="4"/>
        <v>0</v>
      </c>
      <c r="AA39" s="27">
        <f t="shared" si="5"/>
        <v>0</v>
      </c>
      <c r="AB39" s="26">
        <f t="shared" si="6"/>
        <v>0</v>
      </c>
      <c r="AC39" s="28">
        <f t="shared" si="7"/>
        <v>0</v>
      </c>
      <c r="AG39" s="66">
        <f t="shared" si="18"/>
        <v>0</v>
      </c>
      <c r="AH39" s="66">
        <f t="shared" si="18"/>
        <v>0</v>
      </c>
      <c r="AI39" s="66">
        <f t="shared" si="18"/>
        <v>0</v>
      </c>
      <c r="AJ39" s="66">
        <f t="shared" si="18"/>
        <v>0</v>
      </c>
      <c r="AK39" s="66">
        <f t="shared" si="18"/>
        <v>0</v>
      </c>
      <c r="AL39" s="66">
        <f t="shared" si="18"/>
        <v>0</v>
      </c>
      <c r="AM39" s="66">
        <f t="shared" si="18"/>
        <v>0</v>
      </c>
      <c r="AN39" s="66">
        <f t="shared" si="18"/>
        <v>0</v>
      </c>
      <c r="AO39" s="66">
        <f t="shared" si="18"/>
        <v>0</v>
      </c>
      <c r="AU39" s="48"/>
      <c r="AV39" s="48"/>
      <c r="AW39" s="48"/>
      <c r="AX39" s="48"/>
      <c r="AY39" s="48"/>
    </row>
    <row r="40" spans="1:51">
      <c r="A40" s="1">
        <f t="shared" si="10"/>
        <v>0.9166666666666673</v>
      </c>
      <c r="B40" s="1">
        <f t="shared" si="1"/>
        <v>0.93750000000000067</v>
      </c>
      <c r="C40" s="17"/>
      <c r="D40" s="17"/>
      <c r="E40" s="18"/>
      <c r="F40" s="18"/>
      <c r="G40" s="18"/>
      <c r="H40" s="18"/>
      <c r="I40" s="18"/>
      <c r="J40" s="18"/>
      <c r="K40" s="18"/>
      <c r="L40" s="18"/>
      <c r="O40" s="24">
        <f t="shared" si="14"/>
        <v>0</v>
      </c>
      <c r="P40" s="24">
        <f t="shared" si="14"/>
        <v>0</v>
      </c>
      <c r="Q40" s="24">
        <f t="shared" si="14"/>
        <v>0</v>
      </c>
      <c r="R40" s="25">
        <f t="shared" si="14"/>
        <v>0</v>
      </c>
      <c r="S40" s="25">
        <f t="shared" si="14"/>
        <v>0</v>
      </c>
      <c r="T40" s="25">
        <f t="shared" si="14"/>
        <v>0</v>
      </c>
      <c r="U40" s="25">
        <f t="shared" si="14"/>
        <v>0</v>
      </c>
      <c r="V40" s="25">
        <f t="shared" si="14"/>
        <v>0</v>
      </c>
      <c r="W40" s="25">
        <f t="shared" si="14"/>
        <v>0</v>
      </c>
      <c r="X40" s="25">
        <f t="shared" si="14"/>
        <v>0</v>
      </c>
      <c r="Y40" s="26">
        <f t="shared" si="3"/>
        <v>0</v>
      </c>
      <c r="Z40" s="27">
        <f t="shared" si="4"/>
        <v>0</v>
      </c>
      <c r="AA40" s="27">
        <f t="shared" si="5"/>
        <v>0</v>
      </c>
      <c r="AB40" s="26">
        <f t="shared" si="6"/>
        <v>0</v>
      </c>
      <c r="AC40" s="28">
        <f t="shared" si="7"/>
        <v>0</v>
      </c>
      <c r="AG40" s="66">
        <f t="shared" si="18"/>
        <v>0</v>
      </c>
      <c r="AH40" s="66">
        <f t="shared" si="18"/>
        <v>0</v>
      </c>
      <c r="AI40" s="66">
        <f t="shared" si="18"/>
        <v>0</v>
      </c>
      <c r="AJ40" s="66">
        <f t="shared" si="18"/>
        <v>0</v>
      </c>
      <c r="AK40" s="66">
        <f t="shared" si="18"/>
        <v>0</v>
      </c>
      <c r="AL40" s="66">
        <f t="shared" si="18"/>
        <v>0</v>
      </c>
      <c r="AM40" s="66">
        <f t="shared" si="18"/>
        <v>0</v>
      </c>
      <c r="AN40" s="66">
        <f t="shared" si="18"/>
        <v>0</v>
      </c>
      <c r="AO40" s="66">
        <f t="shared" si="18"/>
        <v>0</v>
      </c>
      <c r="AU40" s="48"/>
      <c r="AV40" s="48"/>
      <c r="AW40" s="48"/>
      <c r="AX40" s="48"/>
      <c r="AY40" s="48"/>
    </row>
    <row r="41" spans="1:51" ht="15.75" thickBot="1">
      <c r="A41" s="4">
        <f t="shared" si="10"/>
        <v>0.93750000000000067</v>
      </c>
      <c r="B41" s="4">
        <f t="shared" si="1"/>
        <v>0.95833333333333404</v>
      </c>
      <c r="C41" s="19"/>
      <c r="D41" s="19"/>
      <c r="E41" s="20"/>
      <c r="F41" s="20"/>
      <c r="G41" s="20"/>
      <c r="H41" s="20"/>
      <c r="I41" s="20"/>
      <c r="J41" s="20"/>
      <c r="K41" s="20"/>
      <c r="L41" s="20"/>
      <c r="O41" s="39">
        <f t="shared" si="14"/>
        <v>0</v>
      </c>
      <c r="P41" s="39">
        <f t="shared" si="14"/>
        <v>0</v>
      </c>
      <c r="Q41" s="39">
        <f t="shared" si="14"/>
        <v>0</v>
      </c>
      <c r="R41" s="40">
        <f t="shared" si="14"/>
        <v>0</v>
      </c>
      <c r="S41" s="40">
        <f t="shared" si="14"/>
        <v>0</v>
      </c>
      <c r="T41" s="40">
        <f t="shared" si="14"/>
        <v>0</v>
      </c>
      <c r="U41" s="40">
        <f t="shared" si="14"/>
        <v>0</v>
      </c>
      <c r="V41" s="40">
        <f t="shared" si="14"/>
        <v>0</v>
      </c>
      <c r="W41" s="40">
        <f t="shared" si="14"/>
        <v>0</v>
      </c>
      <c r="X41" s="40">
        <f t="shared" si="14"/>
        <v>0</v>
      </c>
      <c r="Y41" s="41">
        <f t="shared" si="3"/>
        <v>0</v>
      </c>
      <c r="Z41" s="42">
        <f t="shared" si="4"/>
        <v>0</v>
      </c>
      <c r="AA41" s="42">
        <f t="shared" si="5"/>
        <v>0</v>
      </c>
      <c r="AB41" s="41">
        <f t="shared" si="6"/>
        <v>0</v>
      </c>
      <c r="AC41" s="43">
        <f t="shared" si="7"/>
        <v>0</v>
      </c>
      <c r="AG41" s="66">
        <f t="shared" si="18"/>
        <v>0</v>
      </c>
      <c r="AH41" s="66">
        <f t="shared" si="18"/>
        <v>0</v>
      </c>
      <c r="AI41" s="66">
        <f t="shared" si="18"/>
        <v>0</v>
      </c>
      <c r="AJ41" s="66">
        <f t="shared" si="18"/>
        <v>0</v>
      </c>
      <c r="AK41" s="66">
        <f t="shared" si="18"/>
        <v>0</v>
      </c>
      <c r="AL41" s="66">
        <f t="shared" si="18"/>
        <v>0</v>
      </c>
      <c r="AM41" s="66">
        <f t="shared" si="18"/>
        <v>0</v>
      </c>
      <c r="AN41" s="66">
        <f t="shared" si="18"/>
        <v>0</v>
      </c>
      <c r="AO41" s="66">
        <f t="shared" si="18"/>
        <v>0</v>
      </c>
      <c r="AU41" s="48"/>
      <c r="AV41" s="48"/>
      <c r="AW41" s="48"/>
      <c r="AX41" s="48"/>
      <c r="AY41" s="48"/>
    </row>
    <row r="42" spans="1:51">
      <c r="A42" s="3">
        <f t="shared" si="10"/>
        <v>0.95833333333333404</v>
      </c>
      <c r="B42" s="3">
        <f t="shared" si="1"/>
        <v>0.97916666666666741</v>
      </c>
      <c r="C42" s="21"/>
      <c r="D42" s="21"/>
      <c r="E42" s="22"/>
      <c r="F42" s="22"/>
      <c r="G42" s="22"/>
      <c r="H42" s="22"/>
      <c r="I42" s="22"/>
      <c r="J42" s="22"/>
      <c r="K42" s="22"/>
      <c r="L42" s="22"/>
      <c r="O42" s="34">
        <f t="shared" si="14"/>
        <v>0</v>
      </c>
      <c r="P42" s="34">
        <f t="shared" si="14"/>
        <v>0</v>
      </c>
      <c r="Q42" s="34">
        <f t="shared" si="14"/>
        <v>0</v>
      </c>
      <c r="R42" s="35">
        <f t="shared" si="14"/>
        <v>0</v>
      </c>
      <c r="S42" s="35">
        <f t="shared" si="14"/>
        <v>0</v>
      </c>
      <c r="T42" s="35">
        <f t="shared" si="14"/>
        <v>0</v>
      </c>
      <c r="U42" s="35">
        <f t="shared" si="14"/>
        <v>0</v>
      </c>
      <c r="V42" s="35">
        <f t="shared" si="14"/>
        <v>0</v>
      </c>
      <c r="W42" s="35">
        <f t="shared" si="14"/>
        <v>0</v>
      </c>
      <c r="X42" s="35">
        <f t="shared" si="14"/>
        <v>0</v>
      </c>
      <c r="Y42" s="36">
        <f t="shared" si="3"/>
        <v>0</v>
      </c>
      <c r="Z42" s="37">
        <f t="shared" si="4"/>
        <v>0</v>
      </c>
      <c r="AA42" s="37">
        <f t="shared" si="5"/>
        <v>0</v>
      </c>
      <c r="AB42" s="36">
        <f t="shared" si="6"/>
        <v>0</v>
      </c>
      <c r="AC42" s="38">
        <f t="shared" si="7"/>
        <v>0</v>
      </c>
      <c r="AG42" s="66">
        <f t="shared" si="18"/>
        <v>0</v>
      </c>
      <c r="AH42" s="66">
        <f t="shared" si="18"/>
        <v>0</v>
      </c>
      <c r="AI42" s="66">
        <f t="shared" si="18"/>
        <v>0</v>
      </c>
      <c r="AJ42" s="66">
        <f t="shared" si="18"/>
        <v>0</v>
      </c>
      <c r="AK42" s="66">
        <f t="shared" si="18"/>
        <v>0</v>
      </c>
      <c r="AL42" s="66">
        <f t="shared" si="18"/>
        <v>0</v>
      </c>
      <c r="AM42" s="66">
        <f t="shared" si="18"/>
        <v>0</v>
      </c>
      <c r="AN42" s="66">
        <f t="shared" si="18"/>
        <v>0</v>
      </c>
      <c r="AO42" s="66">
        <f t="shared" si="18"/>
        <v>0</v>
      </c>
      <c r="AQ42" s="49">
        <f t="shared" ref="AQ42:AY42" si="20">SUM(O42:O45)</f>
        <v>0</v>
      </c>
      <c r="AR42" s="49">
        <f t="shared" si="20"/>
        <v>0</v>
      </c>
      <c r="AS42" s="49">
        <f t="shared" si="20"/>
        <v>0</v>
      </c>
      <c r="AT42" s="49">
        <f t="shared" si="20"/>
        <v>0</v>
      </c>
      <c r="AU42" s="49">
        <f t="shared" si="20"/>
        <v>0</v>
      </c>
      <c r="AV42" s="49">
        <f t="shared" si="20"/>
        <v>0</v>
      </c>
      <c r="AW42" s="49">
        <f t="shared" si="20"/>
        <v>0</v>
      </c>
      <c r="AX42" s="49">
        <f t="shared" si="20"/>
        <v>0</v>
      </c>
      <c r="AY42" s="49">
        <f t="shared" si="20"/>
        <v>0</v>
      </c>
    </row>
    <row r="43" spans="1:51">
      <c r="A43" s="1">
        <f t="shared" si="10"/>
        <v>0.97916666666666741</v>
      </c>
      <c r="B43" s="1">
        <f t="shared" si="1"/>
        <v>1.0000000000000007</v>
      </c>
      <c r="C43" s="17"/>
      <c r="D43" s="17"/>
      <c r="E43" s="18"/>
      <c r="F43" s="18"/>
      <c r="G43" s="18"/>
      <c r="H43" s="18"/>
      <c r="I43" s="18"/>
      <c r="J43" s="18"/>
      <c r="K43" s="18"/>
      <c r="L43" s="18"/>
      <c r="O43" s="24">
        <f t="shared" si="14"/>
        <v>0</v>
      </c>
      <c r="P43" s="24">
        <f t="shared" si="14"/>
        <v>0</v>
      </c>
      <c r="Q43" s="24">
        <f t="shared" si="14"/>
        <v>0</v>
      </c>
      <c r="R43" s="25">
        <f t="shared" si="14"/>
        <v>0</v>
      </c>
      <c r="S43" s="25">
        <f t="shared" si="14"/>
        <v>0</v>
      </c>
      <c r="T43" s="25">
        <f t="shared" si="14"/>
        <v>0</v>
      </c>
      <c r="U43" s="25">
        <f t="shared" si="14"/>
        <v>0</v>
      </c>
      <c r="V43" s="25">
        <f t="shared" si="14"/>
        <v>0</v>
      </c>
      <c r="W43" s="25">
        <f t="shared" si="14"/>
        <v>0</v>
      </c>
      <c r="X43" s="25">
        <f t="shared" si="14"/>
        <v>0</v>
      </c>
      <c r="Y43" s="26">
        <f t="shared" si="3"/>
        <v>0</v>
      </c>
      <c r="Z43" s="27">
        <f t="shared" si="4"/>
        <v>0</v>
      </c>
      <c r="AA43" s="27">
        <f t="shared" si="5"/>
        <v>0</v>
      </c>
      <c r="AB43" s="26">
        <f t="shared" si="6"/>
        <v>0</v>
      </c>
      <c r="AC43" s="28">
        <f t="shared" si="7"/>
        <v>0</v>
      </c>
      <c r="AG43" s="66">
        <f t="shared" si="18"/>
        <v>0</v>
      </c>
      <c r="AH43" s="66">
        <f t="shared" si="18"/>
        <v>0</v>
      </c>
      <c r="AI43" s="66">
        <f t="shared" si="18"/>
        <v>0</v>
      </c>
      <c r="AJ43" s="66">
        <f t="shared" si="18"/>
        <v>0</v>
      </c>
      <c r="AK43" s="66">
        <f t="shared" si="18"/>
        <v>0</v>
      </c>
      <c r="AL43" s="66">
        <f t="shared" si="18"/>
        <v>0</v>
      </c>
      <c r="AM43" s="66">
        <f t="shared" si="18"/>
        <v>0</v>
      </c>
      <c r="AN43" s="66">
        <f t="shared" si="18"/>
        <v>0</v>
      </c>
      <c r="AO43" s="66">
        <f t="shared" si="18"/>
        <v>0</v>
      </c>
      <c r="AU43" s="48"/>
      <c r="AV43" s="48"/>
      <c r="AW43" s="48"/>
      <c r="AX43" s="48"/>
      <c r="AY43" s="48"/>
    </row>
    <row r="44" spans="1:51">
      <c r="A44" s="1">
        <f t="shared" si="10"/>
        <v>1.0000000000000007</v>
      </c>
      <c r="B44" s="1">
        <f t="shared" si="1"/>
        <v>1.0208333333333339</v>
      </c>
      <c r="C44" s="17"/>
      <c r="D44" s="17"/>
      <c r="E44" s="18"/>
      <c r="F44" s="18"/>
      <c r="G44" s="18"/>
      <c r="H44" s="18"/>
      <c r="I44" s="18"/>
      <c r="J44" s="18"/>
      <c r="K44" s="18"/>
      <c r="L44" s="18"/>
      <c r="O44" s="24">
        <f t="shared" si="14"/>
        <v>0</v>
      </c>
      <c r="P44" s="24">
        <f t="shared" si="14"/>
        <v>0</v>
      </c>
      <c r="Q44" s="24">
        <f t="shared" si="14"/>
        <v>0</v>
      </c>
      <c r="R44" s="25">
        <f t="shared" si="14"/>
        <v>0</v>
      </c>
      <c r="S44" s="25">
        <f t="shared" si="14"/>
        <v>0</v>
      </c>
      <c r="T44" s="25">
        <f t="shared" si="14"/>
        <v>0</v>
      </c>
      <c r="U44" s="25">
        <f t="shared" si="14"/>
        <v>0</v>
      </c>
      <c r="V44" s="25">
        <f t="shared" si="14"/>
        <v>0</v>
      </c>
      <c r="W44" s="25">
        <f t="shared" si="14"/>
        <v>0</v>
      </c>
      <c r="X44" s="25">
        <f t="shared" si="14"/>
        <v>0</v>
      </c>
      <c r="Y44" s="26">
        <f t="shared" si="3"/>
        <v>0</v>
      </c>
      <c r="Z44" s="27">
        <f t="shared" si="4"/>
        <v>0</v>
      </c>
      <c r="AA44" s="27">
        <f t="shared" si="5"/>
        <v>0</v>
      </c>
      <c r="AB44" s="26">
        <f t="shared" si="6"/>
        <v>0</v>
      </c>
      <c r="AC44" s="28">
        <f t="shared" si="7"/>
        <v>0</v>
      </c>
      <c r="AG44" s="66">
        <f t="shared" si="18"/>
        <v>0</v>
      </c>
      <c r="AH44" s="66">
        <f t="shared" si="18"/>
        <v>0</v>
      </c>
      <c r="AI44" s="66">
        <f t="shared" si="18"/>
        <v>0</v>
      </c>
      <c r="AJ44" s="66">
        <f t="shared" si="18"/>
        <v>0</v>
      </c>
      <c r="AK44" s="66">
        <f t="shared" si="18"/>
        <v>0</v>
      </c>
      <c r="AL44" s="66">
        <f t="shared" si="18"/>
        <v>0</v>
      </c>
      <c r="AM44" s="66">
        <f t="shared" si="18"/>
        <v>0</v>
      </c>
      <c r="AN44" s="66">
        <f t="shared" si="18"/>
        <v>0</v>
      </c>
      <c r="AO44" s="66">
        <f t="shared" si="18"/>
        <v>0</v>
      </c>
      <c r="AU44" s="48"/>
      <c r="AV44" s="48"/>
      <c r="AW44" s="48"/>
      <c r="AX44" s="48"/>
      <c r="AY44" s="48"/>
    </row>
    <row r="45" spans="1:51">
      <c r="A45" s="2">
        <f t="shared" si="10"/>
        <v>1.0208333333333339</v>
      </c>
      <c r="B45" s="2">
        <f t="shared" si="1"/>
        <v>1.0416666666666672</v>
      </c>
      <c r="C45" s="19"/>
      <c r="D45" s="19"/>
      <c r="E45" s="20"/>
      <c r="F45" s="20"/>
      <c r="G45" s="20"/>
      <c r="H45" s="20"/>
      <c r="I45" s="20"/>
      <c r="J45" s="20"/>
      <c r="K45" s="20"/>
      <c r="L45" s="20"/>
      <c r="O45" s="29">
        <f t="shared" si="14"/>
        <v>0</v>
      </c>
      <c r="P45" s="29">
        <f t="shared" si="14"/>
        <v>0</v>
      </c>
      <c r="Q45" s="29">
        <f t="shared" si="14"/>
        <v>0</v>
      </c>
      <c r="R45" s="30">
        <f t="shared" si="14"/>
        <v>0</v>
      </c>
      <c r="S45" s="30">
        <f t="shared" si="14"/>
        <v>0</v>
      </c>
      <c r="T45" s="30">
        <f t="shared" si="14"/>
        <v>0</v>
      </c>
      <c r="U45" s="30">
        <f t="shared" si="14"/>
        <v>0</v>
      </c>
      <c r="V45" s="30">
        <f t="shared" si="14"/>
        <v>0</v>
      </c>
      <c r="W45" s="30">
        <f t="shared" si="14"/>
        <v>0</v>
      </c>
      <c r="X45" s="30">
        <f t="shared" si="14"/>
        <v>0</v>
      </c>
      <c r="Y45" s="31">
        <f t="shared" si="3"/>
        <v>0</v>
      </c>
      <c r="Z45" s="32">
        <f t="shared" si="4"/>
        <v>0</v>
      </c>
      <c r="AA45" s="32">
        <f t="shared" si="5"/>
        <v>0</v>
      </c>
      <c r="AB45" s="31">
        <f t="shared" si="6"/>
        <v>0</v>
      </c>
      <c r="AC45" s="33">
        <f t="shared" si="7"/>
        <v>0</v>
      </c>
      <c r="AG45" s="66">
        <f t="shared" si="18"/>
        <v>0</v>
      </c>
      <c r="AH45" s="66">
        <f t="shared" si="18"/>
        <v>0</v>
      </c>
      <c r="AI45" s="66">
        <f t="shared" si="18"/>
        <v>0</v>
      </c>
      <c r="AJ45" s="66">
        <f t="shared" si="18"/>
        <v>0</v>
      </c>
      <c r="AK45" s="66">
        <f t="shared" si="18"/>
        <v>0</v>
      </c>
      <c r="AL45" s="66">
        <f t="shared" si="18"/>
        <v>0</v>
      </c>
      <c r="AM45" s="66">
        <f t="shared" si="18"/>
        <v>0</v>
      </c>
      <c r="AN45" s="66">
        <f t="shared" si="18"/>
        <v>0</v>
      </c>
      <c r="AO45" s="66">
        <f t="shared" si="18"/>
        <v>0</v>
      </c>
      <c r="AU45" s="48"/>
      <c r="AV45" s="48"/>
      <c r="AW45" s="48"/>
      <c r="AX45" s="48"/>
      <c r="AY45" s="48"/>
    </row>
    <row r="46" spans="1:51">
      <c r="A46" s="3">
        <f t="shared" si="10"/>
        <v>1.0416666666666672</v>
      </c>
      <c r="B46" s="3">
        <f t="shared" si="1"/>
        <v>1.0625000000000004</v>
      </c>
      <c r="C46" s="21"/>
      <c r="D46" s="21"/>
      <c r="E46" s="22"/>
      <c r="F46" s="22"/>
      <c r="G46" s="22"/>
      <c r="H46" s="22"/>
      <c r="I46" s="22"/>
      <c r="J46" s="22"/>
      <c r="K46" s="22"/>
      <c r="L46" s="22"/>
      <c r="O46" s="34">
        <f t="shared" si="14"/>
        <v>0</v>
      </c>
      <c r="P46" s="34">
        <f t="shared" si="14"/>
        <v>0</v>
      </c>
      <c r="Q46" s="34">
        <f t="shared" si="14"/>
        <v>0</v>
      </c>
      <c r="R46" s="35">
        <f t="shared" si="14"/>
        <v>0</v>
      </c>
      <c r="S46" s="35">
        <f t="shared" si="14"/>
        <v>0</v>
      </c>
      <c r="T46" s="35">
        <f t="shared" si="14"/>
        <v>0</v>
      </c>
      <c r="U46" s="35">
        <f t="shared" si="14"/>
        <v>0</v>
      </c>
      <c r="V46" s="35">
        <f t="shared" si="14"/>
        <v>0</v>
      </c>
      <c r="W46" s="35">
        <f t="shared" si="14"/>
        <v>0</v>
      </c>
      <c r="X46" s="35">
        <f t="shared" si="14"/>
        <v>0</v>
      </c>
      <c r="Y46" s="36">
        <f t="shared" si="3"/>
        <v>0</v>
      </c>
      <c r="Z46" s="37">
        <f t="shared" si="4"/>
        <v>0</v>
      </c>
      <c r="AA46" s="37">
        <f t="shared" si="5"/>
        <v>0</v>
      </c>
      <c r="AB46" s="36">
        <f t="shared" si="6"/>
        <v>0</v>
      </c>
      <c r="AC46" s="38">
        <f t="shared" si="7"/>
        <v>0</v>
      </c>
      <c r="AG46" s="66">
        <f t="shared" si="18"/>
        <v>0</v>
      </c>
      <c r="AH46" s="66">
        <f t="shared" si="18"/>
        <v>0</v>
      </c>
      <c r="AI46" s="66">
        <f t="shared" si="18"/>
        <v>0</v>
      </c>
      <c r="AJ46" s="66">
        <f t="shared" si="18"/>
        <v>0</v>
      </c>
      <c r="AK46" s="66">
        <f t="shared" si="18"/>
        <v>0</v>
      </c>
      <c r="AL46" s="66">
        <f t="shared" si="18"/>
        <v>0</v>
      </c>
      <c r="AM46" s="66">
        <f t="shared" si="18"/>
        <v>0</v>
      </c>
      <c r="AN46" s="66">
        <f t="shared" si="18"/>
        <v>0</v>
      </c>
      <c r="AO46" s="66">
        <f t="shared" si="18"/>
        <v>0</v>
      </c>
      <c r="AQ46" s="49">
        <f t="shared" ref="AQ46:AY46" si="21">SUM(O46:O49)</f>
        <v>0</v>
      </c>
      <c r="AR46" s="49">
        <f t="shared" si="21"/>
        <v>0</v>
      </c>
      <c r="AS46" s="49">
        <f t="shared" si="21"/>
        <v>0</v>
      </c>
      <c r="AT46" s="49">
        <f t="shared" si="21"/>
        <v>0</v>
      </c>
      <c r="AU46" s="49">
        <f t="shared" si="21"/>
        <v>0</v>
      </c>
      <c r="AV46" s="49">
        <f t="shared" si="21"/>
        <v>0</v>
      </c>
      <c r="AW46" s="49">
        <f t="shared" si="21"/>
        <v>0</v>
      </c>
      <c r="AX46" s="49">
        <f t="shared" si="21"/>
        <v>0</v>
      </c>
      <c r="AY46" s="49">
        <f t="shared" si="21"/>
        <v>0</v>
      </c>
    </row>
    <row r="47" spans="1:51">
      <c r="A47" s="1">
        <f t="shared" si="10"/>
        <v>1.0625000000000004</v>
      </c>
      <c r="B47" s="1">
        <f t="shared" si="1"/>
        <v>1.0833333333333337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O47" s="24">
        <f t="shared" si="14"/>
        <v>0</v>
      </c>
      <c r="P47" s="24">
        <f t="shared" si="14"/>
        <v>0</v>
      </c>
      <c r="Q47" s="24">
        <f t="shared" si="14"/>
        <v>0</v>
      </c>
      <c r="R47" s="25">
        <f t="shared" si="14"/>
        <v>0</v>
      </c>
      <c r="S47" s="25">
        <f t="shared" si="14"/>
        <v>0</v>
      </c>
      <c r="T47" s="25">
        <f t="shared" si="14"/>
        <v>0</v>
      </c>
      <c r="U47" s="25">
        <f t="shared" si="14"/>
        <v>0</v>
      </c>
      <c r="V47" s="25">
        <f t="shared" si="14"/>
        <v>0</v>
      </c>
      <c r="W47" s="25">
        <f t="shared" si="14"/>
        <v>0</v>
      </c>
      <c r="X47" s="25">
        <f t="shared" si="14"/>
        <v>0</v>
      </c>
      <c r="Y47" s="26">
        <f t="shared" si="3"/>
        <v>0</v>
      </c>
      <c r="Z47" s="27">
        <f t="shared" si="4"/>
        <v>0</v>
      </c>
      <c r="AA47" s="27">
        <f t="shared" si="5"/>
        <v>0</v>
      </c>
      <c r="AB47" s="26">
        <f t="shared" si="6"/>
        <v>0</v>
      </c>
      <c r="AC47" s="28">
        <f t="shared" si="7"/>
        <v>0</v>
      </c>
      <c r="AG47" s="66">
        <f t="shared" si="18"/>
        <v>0</v>
      </c>
      <c r="AH47" s="66">
        <f t="shared" si="18"/>
        <v>0</v>
      </c>
      <c r="AI47" s="66">
        <f t="shared" si="18"/>
        <v>0</v>
      </c>
      <c r="AJ47" s="66">
        <f t="shared" si="18"/>
        <v>0</v>
      </c>
      <c r="AK47" s="66">
        <f t="shared" si="18"/>
        <v>0</v>
      </c>
      <c r="AL47" s="66">
        <f t="shared" si="18"/>
        <v>0</v>
      </c>
      <c r="AM47" s="66">
        <f t="shared" si="18"/>
        <v>0</v>
      </c>
      <c r="AN47" s="66">
        <f t="shared" si="18"/>
        <v>0</v>
      </c>
      <c r="AO47" s="66">
        <f t="shared" si="18"/>
        <v>0</v>
      </c>
      <c r="AU47" s="48"/>
      <c r="AV47" s="48"/>
      <c r="AW47" s="48"/>
      <c r="AX47" s="48"/>
      <c r="AY47" s="48"/>
    </row>
    <row r="48" spans="1:51">
      <c r="A48" s="1">
        <f t="shared" si="10"/>
        <v>1.0833333333333337</v>
      </c>
      <c r="B48" s="1">
        <f t="shared" si="1"/>
        <v>1.104166666666667</v>
      </c>
      <c r="C48" s="17"/>
      <c r="D48" s="17"/>
      <c r="E48" s="18"/>
      <c r="F48" s="18"/>
      <c r="G48" s="18"/>
      <c r="H48" s="18"/>
      <c r="I48" s="18"/>
      <c r="J48" s="18"/>
      <c r="K48" s="18"/>
      <c r="L48" s="18"/>
      <c r="O48" s="24">
        <f t="shared" ref="O48:X65" si="22">C48-C47</f>
        <v>0</v>
      </c>
      <c r="P48" s="24">
        <f t="shared" si="22"/>
        <v>0</v>
      </c>
      <c r="Q48" s="24">
        <f t="shared" si="22"/>
        <v>0</v>
      </c>
      <c r="R48" s="25">
        <f t="shared" si="22"/>
        <v>0</v>
      </c>
      <c r="S48" s="25">
        <f t="shared" si="22"/>
        <v>0</v>
      </c>
      <c r="T48" s="25">
        <f t="shared" si="22"/>
        <v>0</v>
      </c>
      <c r="U48" s="25">
        <f t="shared" si="22"/>
        <v>0</v>
      </c>
      <c r="V48" s="25">
        <f t="shared" si="22"/>
        <v>0</v>
      </c>
      <c r="W48" s="25">
        <f t="shared" si="22"/>
        <v>0</v>
      </c>
      <c r="X48" s="25">
        <f t="shared" si="22"/>
        <v>0</v>
      </c>
      <c r="Y48" s="26">
        <f t="shared" si="3"/>
        <v>0</v>
      </c>
      <c r="Z48" s="27">
        <f t="shared" si="4"/>
        <v>0</v>
      </c>
      <c r="AA48" s="27">
        <f t="shared" si="5"/>
        <v>0</v>
      </c>
      <c r="AB48" s="26">
        <f t="shared" si="6"/>
        <v>0</v>
      </c>
      <c r="AC48" s="28">
        <f t="shared" si="7"/>
        <v>0</v>
      </c>
      <c r="AG48" s="66">
        <f t="shared" si="18"/>
        <v>0</v>
      </c>
      <c r="AH48" s="66">
        <f t="shared" si="18"/>
        <v>0</v>
      </c>
      <c r="AI48" s="66">
        <f t="shared" si="18"/>
        <v>0</v>
      </c>
      <c r="AJ48" s="66">
        <f t="shared" si="18"/>
        <v>0</v>
      </c>
      <c r="AK48" s="66">
        <f t="shared" si="18"/>
        <v>0</v>
      </c>
      <c r="AL48" s="66">
        <f t="shared" si="18"/>
        <v>0</v>
      </c>
      <c r="AM48" s="66">
        <f t="shared" si="18"/>
        <v>0</v>
      </c>
      <c r="AN48" s="66">
        <f t="shared" si="18"/>
        <v>0</v>
      </c>
      <c r="AO48" s="66">
        <f t="shared" si="18"/>
        <v>0</v>
      </c>
      <c r="AU48" s="48"/>
      <c r="AV48" s="48"/>
      <c r="AW48" s="48"/>
      <c r="AX48" s="48"/>
      <c r="AY48" s="48"/>
    </row>
    <row r="49" spans="1:51">
      <c r="A49" s="2">
        <f t="shared" si="10"/>
        <v>1.104166666666667</v>
      </c>
      <c r="B49" s="2">
        <f t="shared" si="1"/>
        <v>1.1250000000000002</v>
      </c>
      <c r="C49" s="19"/>
      <c r="D49" s="19"/>
      <c r="E49" s="20"/>
      <c r="F49" s="20"/>
      <c r="G49" s="20"/>
      <c r="H49" s="20"/>
      <c r="I49" s="20"/>
      <c r="J49" s="20"/>
      <c r="K49" s="20"/>
      <c r="L49" s="20"/>
      <c r="O49" s="29">
        <f t="shared" si="22"/>
        <v>0</v>
      </c>
      <c r="P49" s="29">
        <f t="shared" si="22"/>
        <v>0</v>
      </c>
      <c r="Q49" s="29">
        <f t="shared" si="22"/>
        <v>0</v>
      </c>
      <c r="R49" s="30">
        <f t="shared" si="22"/>
        <v>0</v>
      </c>
      <c r="S49" s="30">
        <f t="shared" si="22"/>
        <v>0</v>
      </c>
      <c r="T49" s="30">
        <f t="shared" si="22"/>
        <v>0</v>
      </c>
      <c r="U49" s="30">
        <f t="shared" si="22"/>
        <v>0</v>
      </c>
      <c r="V49" s="30">
        <f t="shared" si="22"/>
        <v>0</v>
      </c>
      <c r="W49" s="30">
        <f t="shared" si="22"/>
        <v>0</v>
      </c>
      <c r="X49" s="30">
        <f t="shared" si="22"/>
        <v>0</v>
      </c>
      <c r="Y49" s="31">
        <f t="shared" si="3"/>
        <v>0</v>
      </c>
      <c r="Z49" s="32">
        <f t="shared" si="4"/>
        <v>0</v>
      </c>
      <c r="AA49" s="32">
        <f t="shared" si="5"/>
        <v>0</v>
      </c>
      <c r="AB49" s="31">
        <f t="shared" si="6"/>
        <v>0</v>
      </c>
      <c r="AC49" s="33">
        <f t="shared" si="7"/>
        <v>0</v>
      </c>
      <c r="AG49" s="66">
        <f t="shared" si="18"/>
        <v>0</v>
      </c>
      <c r="AH49" s="66">
        <f t="shared" si="18"/>
        <v>0</v>
      </c>
      <c r="AI49" s="66">
        <f t="shared" si="18"/>
        <v>0</v>
      </c>
      <c r="AJ49" s="66">
        <f t="shared" si="18"/>
        <v>0</v>
      </c>
      <c r="AK49" s="66">
        <f t="shared" si="18"/>
        <v>0</v>
      </c>
      <c r="AL49" s="66">
        <f t="shared" si="18"/>
        <v>0</v>
      </c>
      <c r="AM49" s="66">
        <f t="shared" si="18"/>
        <v>0</v>
      </c>
      <c r="AN49" s="66">
        <f t="shared" si="18"/>
        <v>0</v>
      </c>
      <c r="AO49" s="66">
        <f t="shared" si="18"/>
        <v>0</v>
      </c>
      <c r="AU49" s="48"/>
      <c r="AV49" s="48"/>
      <c r="AW49" s="48"/>
      <c r="AX49" s="48"/>
      <c r="AY49" s="48"/>
    </row>
    <row r="50" spans="1:51">
      <c r="A50" s="3">
        <f t="shared" si="10"/>
        <v>1.1250000000000002</v>
      </c>
      <c r="B50" s="3">
        <f t="shared" si="1"/>
        <v>1.1458333333333335</v>
      </c>
      <c r="C50" s="21"/>
      <c r="D50" s="21"/>
      <c r="E50" s="22"/>
      <c r="F50" s="22"/>
      <c r="G50" s="22"/>
      <c r="H50" s="22"/>
      <c r="I50" s="22"/>
      <c r="J50" s="22"/>
      <c r="K50" s="22"/>
      <c r="L50" s="22"/>
      <c r="O50" s="34">
        <f t="shared" si="22"/>
        <v>0</v>
      </c>
      <c r="P50" s="34">
        <f t="shared" si="22"/>
        <v>0</v>
      </c>
      <c r="Q50" s="34">
        <f t="shared" si="22"/>
        <v>0</v>
      </c>
      <c r="R50" s="35">
        <f t="shared" si="22"/>
        <v>0</v>
      </c>
      <c r="S50" s="35">
        <f t="shared" si="22"/>
        <v>0</v>
      </c>
      <c r="T50" s="35">
        <f t="shared" si="22"/>
        <v>0</v>
      </c>
      <c r="U50" s="35">
        <f t="shared" si="22"/>
        <v>0</v>
      </c>
      <c r="V50" s="35">
        <f t="shared" si="22"/>
        <v>0</v>
      </c>
      <c r="W50" s="35">
        <f t="shared" si="22"/>
        <v>0</v>
      </c>
      <c r="X50" s="35">
        <f t="shared" si="22"/>
        <v>0</v>
      </c>
      <c r="Y50" s="36">
        <f t="shared" si="3"/>
        <v>0</v>
      </c>
      <c r="Z50" s="37">
        <f t="shared" si="4"/>
        <v>0</v>
      </c>
      <c r="AA50" s="37">
        <f t="shared" si="5"/>
        <v>0</v>
      </c>
      <c r="AB50" s="36">
        <f t="shared" si="6"/>
        <v>0</v>
      </c>
      <c r="AC50" s="38">
        <f t="shared" si="7"/>
        <v>0</v>
      </c>
      <c r="AG50" s="66">
        <f t="shared" si="18"/>
        <v>0</v>
      </c>
      <c r="AH50" s="66">
        <f t="shared" si="18"/>
        <v>0</v>
      </c>
      <c r="AI50" s="66">
        <f t="shared" si="18"/>
        <v>0</v>
      </c>
      <c r="AJ50" s="66">
        <f t="shared" si="18"/>
        <v>0</v>
      </c>
      <c r="AK50" s="66">
        <f t="shared" si="18"/>
        <v>0</v>
      </c>
      <c r="AL50" s="66">
        <f t="shared" si="18"/>
        <v>0</v>
      </c>
      <c r="AM50" s="66">
        <f t="shared" si="18"/>
        <v>0</v>
      </c>
      <c r="AN50" s="66">
        <f t="shared" si="18"/>
        <v>0</v>
      </c>
      <c r="AO50" s="66">
        <f t="shared" si="18"/>
        <v>0</v>
      </c>
      <c r="AQ50" s="49">
        <f t="shared" ref="AQ50:AY50" si="23">SUM(O50:O53)</f>
        <v>0</v>
      </c>
      <c r="AR50" s="49">
        <f t="shared" si="23"/>
        <v>0</v>
      </c>
      <c r="AS50" s="49">
        <f t="shared" si="23"/>
        <v>0</v>
      </c>
      <c r="AT50" s="49">
        <f t="shared" si="23"/>
        <v>0</v>
      </c>
      <c r="AU50" s="49">
        <f t="shared" si="23"/>
        <v>0</v>
      </c>
      <c r="AV50" s="49">
        <f t="shared" si="23"/>
        <v>0</v>
      </c>
      <c r="AW50" s="49">
        <f t="shared" si="23"/>
        <v>0</v>
      </c>
      <c r="AX50" s="49">
        <f t="shared" si="23"/>
        <v>0</v>
      </c>
      <c r="AY50" s="49">
        <f t="shared" si="23"/>
        <v>0</v>
      </c>
    </row>
    <row r="51" spans="1:51">
      <c r="A51" s="1">
        <f t="shared" si="10"/>
        <v>1.1458333333333335</v>
      </c>
      <c r="B51" s="1">
        <f t="shared" si="1"/>
        <v>1.1666666666666667</v>
      </c>
      <c r="C51" s="17"/>
      <c r="D51" s="17"/>
      <c r="E51" s="18"/>
      <c r="F51" s="18"/>
      <c r="G51" s="18"/>
      <c r="H51" s="18"/>
      <c r="I51" s="18"/>
      <c r="J51" s="18"/>
      <c r="K51" s="18"/>
      <c r="L51" s="18"/>
      <c r="O51" s="24">
        <f t="shared" si="22"/>
        <v>0</v>
      </c>
      <c r="P51" s="24">
        <f t="shared" si="22"/>
        <v>0</v>
      </c>
      <c r="Q51" s="24">
        <f t="shared" si="22"/>
        <v>0</v>
      </c>
      <c r="R51" s="25">
        <f t="shared" si="22"/>
        <v>0</v>
      </c>
      <c r="S51" s="25">
        <f t="shared" si="22"/>
        <v>0</v>
      </c>
      <c r="T51" s="25">
        <f t="shared" si="22"/>
        <v>0</v>
      </c>
      <c r="U51" s="25">
        <f t="shared" si="22"/>
        <v>0</v>
      </c>
      <c r="V51" s="25">
        <f t="shared" si="22"/>
        <v>0</v>
      </c>
      <c r="W51" s="25">
        <f t="shared" si="22"/>
        <v>0</v>
      </c>
      <c r="X51" s="25">
        <f t="shared" si="22"/>
        <v>0</v>
      </c>
      <c r="Y51" s="26">
        <f t="shared" si="3"/>
        <v>0</v>
      </c>
      <c r="Z51" s="27">
        <f t="shared" si="4"/>
        <v>0</v>
      </c>
      <c r="AA51" s="27">
        <f t="shared" si="5"/>
        <v>0</v>
      </c>
      <c r="AB51" s="26">
        <f t="shared" si="6"/>
        <v>0</v>
      </c>
      <c r="AC51" s="28">
        <f t="shared" si="7"/>
        <v>0</v>
      </c>
      <c r="AG51" s="66">
        <f t="shared" si="18"/>
        <v>0</v>
      </c>
      <c r="AH51" s="66">
        <f t="shared" si="18"/>
        <v>0</v>
      </c>
      <c r="AI51" s="66">
        <f t="shared" si="18"/>
        <v>0</v>
      </c>
      <c r="AJ51" s="66">
        <f t="shared" si="18"/>
        <v>0</v>
      </c>
      <c r="AK51" s="66">
        <f t="shared" si="18"/>
        <v>0</v>
      </c>
      <c r="AL51" s="66">
        <f t="shared" si="18"/>
        <v>0</v>
      </c>
      <c r="AM51" s="66">
        <f t="shared" si="18"/>
        <v>0</v>
      </c>
      <c r="AN51" s="66">
        <f t="shared" si="18"/>
        <v>0</v>
      </c>
      <c r="AO51" s="66">
        <f t="shared" si="18"/>
        <v>0</v>
      </c>
      <c r="AU51" s="48"/>
      <c r="AV51" s="48"/>
      <c r="AW51" s="48"/>
      <c r="AX51" s="48"/>
      <c r="AY51" s="48"/>
    </row>
    <row r="52" spans="1:51">
      <c r="A52" s="1">
        <f t="shared" si="10"/>
        <v>1.1666666666666667</v>
      </c>
      <c r="B52" s="1">
        <f t="shared" si="1"/>
        <v>1.1875</v>
      </c>
      <c r="C52" s="17"/>
      <c r="D52" s="17"/>
      <c r="E52" s="18"/>
      <c r="F52" s="18"/>
      <c r="G52" s="18"/>
      <c r="H52" s="18"/>
      <c r="I52" s="18"/>
      <c r="J52" s="18"/>
      <c r="K52" s="18"/>
      <c r="L52" s="18"/>
      <c r="O52" s="24">
        <f t="shared" si="22"/>
        <v>0</v>
      </c>
      <c r="P52" s="24">
        <f t="shared" si="22"/>
        <v>0</v>
      </c>
      <c r="Q52" s="24">
        <f t="shared" si="22"/>
        <v>0</v>
      </c>
      <c r="R52" s="25">
        <f t="shared" si="22"/>
        <v>0</v>
      </c>
      <c r="S52" s="25">
        <f t="shared" si="22"/>
        <v>0</v>
      </c>
      <c r="T52" s="25">
        <f t="shared" si="22"/>
        <v>0</v>
      </c>
      <c r="U52" s="25">
        <f t="shared" si="22"/>
        <v>0</v>
      </c>
      <c r="V52" s="25">
        <f t="shared" si="22"/>
        <v>0</v>
      </c>
      <c r="W52" s="25">
        <f t="shared" si="22"/>
        <v>0</v>
      </c>
      <c r="X52" s="25">
        <f t="shared" si="22"/>
        <v>0</v>
      </c>
      <c r="Y52" s="26">
        <f t="shared" si="3"/>
        <v>0</v>
      </c>
      <c r="Z52" s="27">
        <f t="shared" si="4"/>
        <v>0</v>
      </c>
      <c r="AA52" s="27">
        <f t="shared" si="5"/>
        <v>0</v>
      </c>
      <c r="AB52" s="26">
        <f t="shared" si="6"/>
        <v>0</v>
      </c>
      <c r="AC52" s="28">
        <f t="shared" si="7"/>
        <v>0</v>
      </c>
      <c r="AG52" s="66">
        <f t="shared" si="18"/>
        <v>0</v>
      </c>
      <c r="AH52" s="66">
        <f t="shared" si="18"/>
        <v>0</v>
      </c>
      <c r="AI52" s="66">
        <f t="shared" si="18"/>
        <v>0</v>
      </c>
      <c r="AJ52" s="66">
        <f t="shared" si="18"/>
        <v>0</v>
      </c>
      <c r="AK52" s="66">
        <f t="shared" si="18"/>
        <v>0</v>
      </c>
      <c r="AL52" s="66">
        <f t="shared" si="18"/>
        <v>0</v>
      </c>
      <c r="AM52" s="66">
        <f t="shared" si="18"/>
        <v>0</v>
      </c>
      <c r="AN52" s="66">
        <f t="shared" si="18"/>
        <v>0</v>
      </c>
      <c r="AO52" s="66">
        <f t="shared" si="18"/>
        <v>0</v>
      </c>
      <c r="AU52" s="48"/>
      <c r="AV52" s="48"/>
      <c r="AW52" s="48"/>
      <c r="AX52" s="48"/>
      <c r="AY52" s="48"/>
    </row>
    <row r="53" spans="1:51" ht="15.75" thickBot="1">
      <c r="A53" s="4">
        <f t="shared" si="10"/>
        <v>1.1875</v>
      </c>
      <c r="B53" s="4">
        <f t="shared" si="1"/>
        <v>1.2083333333333333</v>
      </c>
      <c r="C53" s="19"/>
      <c r="D53" s="19"/>
      <c r="E53" s="20"/>
      <c r="F53" s="20"/>
      <c r="G53" s="20"/>
      <c r="H53" s="20"/>
      <c r="I53" s="20"/>
      <c r="J53" s="20"/>
      <c r="K53" s="20"/>
      <c r="L53" s="20"/>
      <c r="O53" s="39">
        <f t="shared" si="22"/>
        <v>0</v>
      </c>
      <c r="P53" s="39">
        <f t="shared" si="22"/>
        <v>0</v>
      </c>
      <c r="Q53" s="39">
        <f t="shared" si="22"/>
        <v>0</v>
      </c>
      <c r="R53" s="40">
        <f t="shared" si="22"/>
        <v>0</v>
      </c>
      <c r="S53" s="40">
        <f t="shared" si="22"/>
        <v>0</v>
      </c>
      <c r="T53" s="40">
        <f t="shared" si="22"/>
        <v>0</v>
      </c>
      <c r="U53" s="40">
        <f t="shared" si="22"/>
        <v>0</v>
      </c>
      <c r="V53" s="40">
        <f t="shared" si="22"/>
        <v>0</v>
      </c>
      <c r="W53" s="40">
        <f t="shared" si="22"/>
        <v>0</v>
      </c>
      <c r="X53" s="40">
        <f t="shared" si="22"/>
        <v>0</v>
      </c>
      <c r="Y53" s="41">
        <f t="shared" si="3"/>
        <v>0</v>
      </c>
      <c r="Z53" s="42">
        <f t="shared" si="4"/>
        <v>0</v>
      </c>
      <c r="AA53" s="42">
        <f t="shared" si="5"/>
        <v>0</v>
      </c>
      <c r="AB53" s="41">
        <f t="shared" si="6"/>
        <v>0</v>
      </c>
      <c r="AC53" s="43">
        <f t="shared" si="7"/>
        <v>0</v>
      </c>
      <c r="AG53" s="66">
        <f t="shared" si="18"/>
        <v>0</v>
      </c>
      <c r="AH53" s="66">
        <f t="shared" si="18"/>
        <v>0</v>
      </c>
      <c r="AI53" s="66">
        <f t="shared" si="18"/>
        <v>0</v>
      </c>
      <c r="AJ53" s="66">
        <f t="shared" si="18"/>
        <v>0</v>
      </c>
      <c r="AK53" s="66">
        <f t="shared" si="18"/>
        <v>0</v>
      </c>
      <c r="AL53" s="66">
        <f t="shared" si="18"/>
        <v>0</v>
      </c>
      <c r="AM53" s="66">
        <f t="shared" si="18"/>
        <v>0</v>
      </c>
      <c r="AN53" s="66">
        <f t="shared" si="18"/>
        <v>0</v>
      </c>
      <c r="AO53" s="66">
        <f t="shared" si="18"/>
        <v>0</v>
      </c>
      <c r="AU53" s="48"/>
      <c r="AV53" s="48"/>
      <c r="AW53" s="48"/>
      <c r="AX53" s="48"/>
      <c r="AY53" s="48"/>
    </row>
    <row r="54" spans="1:51">
      <c r="A54" s="3">
        <f t="shared" si="10"/>
        <v>1.2083333333333333</v>
      </c>
      <c r="B54" s="3">
        <f t="shared" si="1"/>
        <v>1.2291666666666665</v>
      </c>
      <c r="C54" s="21"/>
      <c r="D54" s="21"/>
      <c r="E54" s="22"/>
      <c r="F54" s="22"/>
      <c r="G54" s="22"/>
      <c r="H54" s="22"/>
      <c r="I54" s="22"/>
      <c r="J54" s="22"/>
      <c r="K54" s="22"/>
      <c r="L54" s="22"/>
      <c r="O54" s="34">
        <f t="shared" si="22"/>
        <v>0</v>
      </c>
      <c r="P54" s="34">
        <f t="shared" si="22"/>
        <v>0</v>
      </c>
      <c r="Q54" s="34">
        <f t="shared" si="22"/>
        <v>0</v>
      </c>
      <c r="R54" s="35">
        <f t="shared" si="22"/>
        <v>0</v>
      </c>
      <c r="S54" s="35">
        <f t="shared" si="22"/>
        <v>0</v>
      </c>
      <c r="T54" s="35">
        <f t="shared" si="22"/>
        <v>0</v>
      </c>
      <c r="U54" s="35">
        <f t="shared" si="22"/>
        <v>0</v>
      </c>
      <c r="V54" s="35">
        <f t="shared" si="22"/>
        <v>0</v>
      </c>
      <c r="W54" s="35">
        <f t="shared" si="22"/>
        <v>0</v>
      </c>
      <c r="X54" s="35">
        <f t="shared" si="22"/>
        <v>0</v>
      </c>
      <c r="Y54" s="36">
        <f t="shared" si="3"/>
        <v>0</v>
      </c>
      <c r="Z54" s="37">
        <f t="shared" si="4"/>
        <v>0</v>
      </c>
      <c r="AA54" s="37">
        <f t="shared" si="5"/>
        <v>0</v>
      </c>
      <c r="AB54" s="36">
        <f t="shared" si="6"/>
        <v>0</v>
      </c>
      <c r="AC54" s="38">
        <f t="shared" si="7"/>
        <v>0</v>
      </c>
      <c r="AG54" s="66">
        <f t="shared" si="18"/>
        <v>0</v>
      </c>
      <c r="AH54" s="66">
        <f t="shared" si="18"/>
        <v>0</v>
      </c>
      <c r="AI54" s="66">
        <f t="shared" si="18"/>
        <v>0</v>
      </c>
      <c r="AJ54" s="66">
        <f t="shared" si="18"/>
        <v>0</v>
      </c>
      <c r="AK54" s="66">
        <f t="shared" si="18"/>
        <v>0</v>
      </c>
      <c r="AL54" s="66">
        <f t="shared" si="18"/>
        <v>0</v>
      </c>
      <c r="AM54" s="66">
        <f t="shared" si="18"/>
        <v>0</v>
      </c>
      <c r="AN54" s="66">
        <f t="shared" si="18"/>
        <v>0</v>
      </c>
      <c r="AO54" s="66">
        <f t="shared" si="18"/>
        <v>0</v>
      </c>
      <c r="AQ54" s="49">
        <f t="shared" ref="AQ54:AY54" si="24">SUM(O54:O57)</f>
        <v>0</v>
      </c>
      <c r="AR54" s="49">
        <f t="shared" si="24"/>
        <v>0</v>
      </c>
      <c r="AS54" s="49">
        <f t="shared" si="24"/>
        <v>0</v>
      </c>
      <c r="AT54" s="49">
        <f t="shared" si="24"/>
        <v>0</v>
      </c>
      <c r="AU54" s="49">
        <f t="shared" si="24"/>
        <v>0</v>
      </c>
      <c r="AV54" s="49">
        <f t="shared" si="24"/>
        <v>0</v>
      </c>
      <c r="AW54" s="49">
        <f t="shared" si="24"/>
        <v>0</v>
      </c>
      <c r="AX54" s="49">
        <f t="shared" si="24"/>
        <v>0</v>
      </c>
      <c r="AY54" s="49">
        <f t="shared" si="24"/>
        <v>0</v>
      </c>
    </row>
    <row r="55" spans="1:51">
      <c r="A55" s="1">
        <f t="shared" si="10"/>
        <v>1.2291666666666665</v>
      </c>
      <c r="B55" s="1">
        <f t="shared" si="1"/>
        <v>1.2499999999999998</v>
      </c>
      <c r="C55" s="17"/>
      <c r="D55" s="17"/>
      <c r="E55" s="18"/>
      <c r="F55" s="18"/>
      <c r="G55" s="18"/>
      <c r="H55" s="18"/>
      <c r="I55" s="18"/>
      <c r="J55" s="18"/>
      <c r="K55" s="18"/>
      <c r="L55" s="18"/>
      <c r="O55" s="24">
        <f t="shared" si="22"/>
        <v>0</v>
      </c>
      <c r="P55" s="24">
        <f t="shared" si="22"/>
        <v>0</v>
      </c>
      <c r="Q55" s="24">
        <f t="shared" si="22"/>
        <v>0</v>
      </c>
      <c r="R55" s="25">
        <f t="shared" si="22"/>
        <v>0</v>
      </c>
      <c r="S55" s="25">
        <f t="shared" si="22"/>
        <v>0</v>
      </c>
      <c r="T55" s="25">
        <f t="shared" si="22"/>
        <v>0</v>
      </c>
      <c r="U55" s="25">
        <f t="shared" si="22"/>
        <v>0</v>
      </c>
      <c r="V55" s="25">
        <f t="shared" si="22"/>
        <v>0</v>
      </c>
      <c r="W55" s="25">
        <f t="shared" si="22"/>
        <v>0</v>
      </c>
      <c r="X55" s="25">
        <f t="shared" si="22"/>
        <v>0</v>
      </c>
      <c r="Y55" s="26">
        <f t="shared" si="3"/>
        <v>0</v>
      </c>
      <c r="Z55" s="27">
        <f t="shared" si="4"/>
        <v>0</v>
      </c>
      <c r="AA55" s="27">
        <f t="shared" si="5"/>
        <v>0</v>
      </c>
      <c r="AB55" s="26">
        <f t="shared" si="6"/>
        <v>0</v>
      </c>
      <c r="AC55" s="28">
        <f t="shared" si="7"/>
        <v>0</v>
      </c>
      <c r="AG55" s="66">
        <f t="shared" si="18"/>
        <v>0</v>
      </c>
      <c r="AH55" s="66">
        <f t="shared" si="18"/>
        <v>0</v>
      </c>
      <c r="AI55" s="66">
        <f t="shared" si="18"/>
        <v>0</v>
      </c>
      <c r="AJ55" s="66">
        <f t="shared" si="18"/>
        <v>0</v>
      </c>
      <c r="AK55" s="66">
        <f t="shared" si="18"/>
        <v>0</v>
      </c>
      <c r="AL55" s="66">
        <f t="shared" si="18"/>
        <v>0</v>
      </c>
      <c r="AM55" s="66">
        <f t="shared" si="18"/>
        <v>0</v>
      </c>
      <c r="AN55" s="66">
        <f t="shared" si="18"/>
        <v>0</v>
      </c>
      <c r="AO55" s="66">
        <f t="shared" si="18"/>
        <v>0</v>
      </c>
      <c r="AU55" s="48"/>
      <c r="AV55" s="48"/>
      <c r="AW55" s="48"/>
      <c r="AX55" s="48"/>
      <c r="AY55" s="48"/>
    </row>
    <row r="56" spans="1:51">
      <c r="A56" s="1">
        <f t="shared" si="10"/>
        <v>1.2499999999999998</v>
      </c>
      <c r="B56" s="1">
        <f t="shared" si="1"/>
        <v>1.270833333333333</v>
      </c>
      <c r="C56" s="17"/>
      <c r="D56" s="17"/>
      <c r="E56" s="18"/>
      <c r="F56" s="18"/>
      <c r="G56" s="18"/>
      <c r="H56" s="18"/>
      <c r="I56" s="18"/>
      <c r="J56" s="18"/>
      <c r="K56" s="18"/>
      <c r="L56" s="18"/>
      <c r="O56" s="24">
        <f t="shared" si="22"/>
        <v>0</v>
      </c>
      <c r="P56" s="24">
        <f t="shared" si="22"/>
        <v>0</v>
      </c>
      <c r="Q56" s="24">
        <f t="shared" si="22"/>
        <v>0</v>
      </c>
      <c r="R56" s="25">
        <f t="shared" si="22"/>
        <v>0</v>
      </c>
      <c r="S56" s="25">
        <f t="shared" si="22"/>
        <v>0</v>
      </c>
      <c r="T56" s="25">
        <f t="shared" si="22"/>
        <v>0</v>
      </c>
      <c r="U56" s="25">
        <f t="shared" si="22"/>
        <v>0</v>
      </c>
      <c r="V56" s="25">
        <f t="shared" si="22"/>
        <v>0</v>
      </c>
      <c r="W56" s="25">
        <f t="shared" si="22"/>
        <v>0</v>
      </c>
      <c r="X56" s="25">
        <f t="shared" si="22"/>
        <v>0</v>
      </c>
      <c r="Y56" s="26">
        <f t="shared" si="3"/>
        <v>0</v>
      </c>
      <c r="Z56" s="27">
        <f t="shared" si="4"/>
        <v>0</v>
      </c>
      <c r="AA56" s="27">
        <f t="shared" si="5"/>
        <v>0</v>
      </c>
      <c r="AB56" s="26">
        <f t="shared" si="6"/>
        <v>0</v>
      </c>
      <c r="AC56" s="28">
        <f t="shared" si="7"/>
        <v>0</v>
      </c>
      <c r="AG56" s="66">
        <f t="shared" si="18"/>
        <v>0</v>
      </c>
      <c r="AH56" s="66">
        <f t="shared" si="18"/>
        <v>0</v>
      </c>
      <c r="AI56" s="66">
        <f t="shared" si="18"/>
        <v>0</v>
      </c>
      <c r="AJ56" s="66">
        <f t="shared" si="18"/>
        <v>0</v>
      </c>
      <c r="AK56" s="66">
        <f t="shared" si="18"/>
        <v>0</v>
      </c>
      <c r="AL56" s="66">
        <f t="shared" si="18"/>
        <v>0</v>
      </c>
      <c r="AM56" s="66">
        <f t="shared" si="18"/>
        <v>0</v>
      </c>
      <c r="AN56" s="66">
        <f t="shared" si="18"/>
        <v>0</v>
      </c>
      <c r="AO56" s="66">
        <f t="shared" si="18"/>
        <v>0</v>
      </c>
      <c r="AU56" s="48"/>
      <c r="AV56" s="48"/>
      <c r="AW56" s="48"/>
      <c r="AX56" s="48"/>
      <c r="AY56" s="48"/>
    </row>
    <row r="57" spans="1:51">
      <c r="A57" s="2">
        <f t="shared" si="10"/>
        <v>1.270833333333333</v>
      </c>
      <c r="B57" s="2">
        <f t="shared" si="1"/>
        <v>1.2916666666666663</v>
      </c>
      <c r="C57" s="19"/>
      <c r="D57" s="19"/>
      <c r="E57" s="20"/>
      <c r="F57" s="20"/>
      <c r="G57" s="20"/>
      <c r="H57" s="20"/>
      <c r="I57" s="20"/>
      <c r="J57" s="20"/>
      <c r="K57" s="20"/>
      <c r="L57" s="20"/>
      <c r="O57" s="29">
        <f t="shared" si="22"/>
        <v>0</v>
      </c>
      <c r="P57" s="29">
        <f t="shared" si="22"/>
        <v>0</v>
      </c>
      <c r="Q57" s="29">
        <f t="shared" si="22"/>
        <v>0</v>
      </c>
      <c r="R57" s="30">
        <f t="shared" si="22"/>
        <v>0</v>
      </c>
      <c r="S57" s="30">
        <f t="shared" si="22"/>
        <v>0</v>
      </c>
      <c r="T57" s="30">
        <f t="shared" si="22"/>
        <v>0</v>
      </c>
      <c r="U57" s="30">
        <f t="shared" si="22"/>
        <v>0</v>
      </c>
      <c r="V57" s="30">
        <f t="shared" si="22"/>
        <v>0</v>
      </c>
      <c r="W57" s="30">
        <f t="shared" si="22"/>
        <v>0</v>
      </c>
      <c r="X57" s="30">
        <f t="shared" si="22"/>
        <v>0</v>
      </c>
      <c r="Y57" s="31">
        <f t="shared" si="3"/>
        <v>0</v>
      </c>
      <c r="Z57" s="32">
        <f t="shared" si="4"/>
        <v>0</v>
      </c>
      <c r="AA57" s="32">
        <f t="shared" si="5"/>
        <v>0</v>
      </c>
      <c r="AB57" s="31">
        <f t="shared" si="6"/>
        <v>0</v>
      </c>
      <c r="AC57" s="33">
        <f t="shared" si="7"/>
        <v>0</v>
      </c>
      <c r="AG57" s="66">
        <f t="shared" si="18"/>
        <v>0</v>
      </c>
      <c r="AH57" s="66">
        <f t="shared" si="18"/>
        <v>0</v>
      </c>
      <c r="AI57" s="66">
        <f t="shared" si="18"/>
        <v>0</v>
      </c>
      <c r="AJ57" s="66">
        <f t="shared" si="18"/>
        <v>0</v>
      </c>
      <c r="AK57" s="66">
        <f t="shared" si="18"/>
        <v>0</v>
      </c>
      <c r="AL57" s="66">
        <f t="shared" si="18"/>
        <v>0</v>
      </c>
      <c r="AM57" s="66">
        <f t="shared" si="18"/>
        <v>0</v>
      </c>
      <c r="AN57" s="66">
        <f t="shared" si="18"/>
        <v>0</v>
      </c>
      <c r="AO57" s="66">
        <f t="shared" si="18"/>
        <v>0</v>
      </c>
      <c r="AU57" s="48"/>
      <c r="AV57" s="48"/>
      <c r="AW57" s="48"/>
      <c r="AX57" s="48"/>
      <c r="AY57" s="48"/>
    </row>
    <row r="58" spans="1:51">
      <c r="A58" s="3">
        <f t="shared" si="10"/>
        <v>1.2916666666666663</v>
      </c>
      <c r="B58" s="3">
        <f t="shared" si="1"/>
        <v>1.3124999999999996</v>
      </c>
      <c r="C58" s="21"/>
      <c r="D58" s="21"/>
      <c r="E58" s="22"/>
      <c r="F58" s="22"/>
      <c r="G58" s="22"/>
      <c r="H58" s="22"/>
      <c r="I58" s="22"/>
      <c r="J58" s="22"/>
      <c r="K58" s="22"/>
      <c r="L58" s="22"/>
      <c r="O58" s="34">
        <f t="shared" si="22"/>
        <v>0</v>
      </c>
      <c r="P58" s="34">
        <f t="shared" si="22"/>
        <v>0</v>
      </c>
      <c r="Q58" s="34">
        <f t="shared" si="22"/>
        <v>0</v>
      </c>
      <c r="R58" s="35">
        <f t="shared" si="22"/>
        <v>0</v>
      </c>
      <c r="S58" s="35">
        <f t="shared" si="22"/>
        <v>0</v>
      </c>
      <c r="T58" s="35">
        <f t="shared" si="22"/>
        <v>0</v>
      </c>
      <c r="U58" s="35">
        <f t="shared" si="22"/>
        <v>0</v>
      </c>
      <c r="V58" s="35">
        <f t="shared" si="22"/>
        <v>0</v>
      </c>
      <c r="W58" s="35">
        <f t="shared" si="22"/>
        <v>0</v>
      </c>
      <c r="X58" s="35">
        <f t="shared" si="22"/>
        <v>0</v>
      </c>
      <c r="Y58" s="36">
        <f t="shared" si="3"/>
        <v>0</v>
      </c>
      <c r="Z58" s="37">
        <f t="shared" si="4"/>
        <v>0</v>
      </c>
      <c r="AA58" s="37">
        <f t="shared" si="5"/>
        <v>0</v>
      </c>
      <c r="AB58" s="36">
        <f t="shared" si="6"/>
        <v>0</v>
      </c>
      <c r="AC58" s="38">
        <f t="shared" si="7"/>
        <v>0</v>
      </c>
      <c r="AG58" s="66">
        <f t="shared" si="18"/>
        <v>0</v>
      </c>
      <c r="AH58" s="66">
        <f t="shared" si="18"/>
        <v>0</v>
      </c>
      <c r="AI58" s="66">
        <f t="shared" si="18"/>
        <v>0</v>
      </c>
      <c r="AJ58" s="66">
        <f t="shared" si="18"/>
        <v>0</v>
      </c>
      <c r="AK58" s="66">
        <f t="shared" si="18"/>
        <v>0</v>
      </c>
      <c r="AL58" s="66">
        <f t="shared" si="18"/>
        <v>0</v>
      </c>
      <c r="AM58" s="66">
        <f t="shared" si="18"/>
        <v>0</v>
      </c>
      <c r="AN58" s="66">
        <f t="shared" si="18"/>
        <v>0</v>
      </c>
      <c r="AO58" s="66">
        <f t="shared" si="18"/>
        <v>0</v>
      </c>
      <c r="AQ58" s="49">
        <f t="shared" ref="AQ58:AY58" si="25">SUM(O58:O61)</f>
        <v>0</v>
      </c>
      <c r="AR58" s="49">
        <f t="shared" si="25"/>
        <v>0</v>
      </c>
      <c r="AS58" s="49">
        <f t="shared" si="25"/>
        <v>0</v>
      </c>
      <c r="AT58" s="49">
        <f t="shared" si="25"/>
        <v>0</v>
      </c>
      <c r="AU58" s="49">
        <f t="shared" si="25"/>
        <v>0</v>
      </c>
      <c r="AV58" s="49">
        <f t="shared" si="25"/>
        <v>0</v>
      </c>
      <c r="AW58" s="49">
        <f t="shared" si="25"/>
        <v>0</v>
      </c>
      <c r="AX58" s="49">
        <f t="shared" si="25"/>
        <v>0</v>
      </c>
      <c r="AY58" s="49">
        <f t="shared" si="25"/>
        <v>0</v>
      </c>
    </row>
    <row r="59" spans="1:51">
      <c r="A59" s="1">
        <f t="shared" si="10"/>
        <v>1.3124999999999996</v>
      </c>
      <c r="B59" s="1">
        <f t="shared" si="1"/>
        <v>1.3333333333333328</v>
      </c>
      <c r="C59" s="17"/>
      <c r="D59" s="17"/>
      <c r="E59" s="18"/>
      <c r="F59" s="18"/>
      <c r="G59" s="18"/>
      <c r="H59" s="18"/>
      <c r="I59" s="18"/>
      <c r="J59" s="18"/>
      <c r="K59" s="18"/>
      <c r="L59" s="18"/>
      <c r="O59" s="24">
        <f t="shared" si="22"/>
        <v>0</v>
      </c>
      <c r="P59" s="24">
        <f t="shared" si="22"/>
        <v>0</v>
      </c>
      <c r="Q59" s="24">
        <f t="shared" si="22"/>
        <v>0</v>
      </c>
      <c r="R59" s="25">
        <f t="shared" si="22"/>
        <v>0</v>
      </c>
      <c r="S59" s="25">
        <f t="shared" si="22"/>
        <v>0</v>
      </c>
      <c r="T59" s="25">
        <f t="shared" si="22"/>
        <v>0</v>
      </c>
      <c r="U59" s="25">
        <f t="shared" si="22"/>
        <v>0</v>
      </c>
      <c r="V59" s="25">
        <f t="shared" si="22"/>
        <v>0</v>
      </c>
      <c r="W59" s="25">
        <f t="shared" si="22"/>
        <v>0</v>
      </c>
      <c r="X59" s="25">
        <f t="shared" si="22"/>
        <v>0</v>
      </c>
      <c r="Y59" s="26">
        <f t="shared" si="3"/>
        <v>0</v>
      </c>
      <c r="Z59" s="27">
        <f t="shared" si="4"/>
        <v>0</v>
      </c>
      <c r="AA59" s="27">
        <f t="shared" si="5"/>
        <v>0</v>
      </c>
      <c r="AB59" s="26">
        <f t="shared" si="6"/>
        <v>0</v>
      </c>
      <c r="AC59" s="28">
        <f t="shared" si="7"/>
        <v>0</v>
      </c>
      <c r="AG59" s="66">
        <f t="shared" si="18"/>
        <v>0</v>
      </c>
      <c r="AH59" s="66">
        <f t="shared" si="18"/>
        <v>0</v>
      </c>
      <c r="AI59" s="66">
        <f t="shared" si="18"/>
        <v>0</v>
      </c>
      <c r="AJ59" s="66">
        <f t="shared" si="18"/>
        <v>0</v>
      </c>
      <c r="AK59" s="66">
        <f t="shared" si="18"/>
        <v>0</v>
      </c>
      <c r="AL59" s="66">
        <f t="shared" si="18"/>
        <v>0</v>
      </c>
      <c r="AM59" s="66">
        <f t="shared" si="18"/>
        <v>0</v>
      </c>
      <c r="AN59" s="66">
        <f t="shared" si="18"/>
        <v>0</v>
      </c>
      <c r="AO59" s="66">
        <f t="shared" si="18"/>
        <v>0</v>
      </c>
      <c r="AU59" s="48"/>
      <c r="AV59" s="48"/>
      <c r="AW59" s="48"/>
      <c r="AX59" s="48"/>
      <c r="AY59" s="48"/>
    </row>
    <row r="60" spans="1:51">
      <c r="A60" s="1">
        <f t="shared" si="10"/>
        <v>1.3333333333333328</v>
      </c>
      <c r="B60" s="1">
        <f t="shared" si="1"/>
        <v>1.3541666666666661</v>
      </c>
      <c r="C60" s="17"/>
      <c r="D60" s="17"/>
      <c r="E60" s="18"/>
      <c r="F60" s="18"/>
      <c r="G60" s="18"/>
      <c r="H60" s="18"/>
      <c r="I60" s="18"/>
      <c r="J60" s="18"/>
      <c r="K60" s="18"/>
      <c r="L60" s="18"/>
      <c r="O60" s="24">
        <f t="shared" si="22"/>
        <v>0</v>
      </c>
      <c r="P60" s="24">
        <f t="shared" si="22"/>
        <v>0</v>
      </c>
      <c r="Q60" s="24">
        <f t="shared" si="22"/>
        <v>0</v>
      </c>
      <c r="R60" s="25">
        <f t="shared" si="22"/>
        <v>0</v>
      </c>
      <c r="S60" s="25">
        <f t="shared" si="22"/>
        <v>0</v>
      </c>
      <c r="T60" s="25">
        <f t="shared" si="22"/>
        <v>0</v>
      </c>
      <c r="U60" s="25">
        <f t="shared" si="22"/>
        <v>0</v>
      </c>
      <c r="V60" s="25">
        <f t="shared" si="22"/>
        <v>0</v>
      </c>
      <c r="W60" s="25">
        <f t="shared" si="22"/>
        <v>0</v>
      </c>
      <c r="X60" s="25">
        <f t="shared" si="22"/>
        <v>0</v>
      </c>
      <c r="Y60" s="26">
        <f t="shared" si="3"/>
        <v>0</v>
      </c>
      <c r="Z60" s="27">
        <f t="shared" si="4"/>
        <v>0</v>
      </c>
      <c r="AA60" s="27">
        <f t="shared" si="5"/>
        <v>0</v>
      </c>
      <c r="AB60" s="26">
        <f t="shared" si="6"/>
        <v>0</v>
      </c>
      <c r="AC60" s="28">
        <f t="shared" si="7"/>
        <v>0</v>
      </c>
      <c r="AG60" s="66">
        <f t="shared" si="18"/>
        <v>0</v>
      </c>
      <c r="AH60" s="66">
        <f t="shared" si="18"/>
        <v>0</v>
      </c>
      <c r="AI60" s="66">
        <f t="shared" si="18"/>
        <v>0</v>
      </c>
      <c r="AJ60" s="66">
        <f t="shared" si="18"/>
        <v>0</v>
      </c>
      <c r="AK60" s="66">
        <f t="shared" si="18"/>
        <v>0</v>
      </c>
      <c r="AL60" s="66">
        <f t="shared" si="18"/>
        <v>0</v>
      </c>
      <c r="AM60" s="66">
        <f t="shared" si="18"/>
        <v>0</v>
      </c>
      <c r="AN60" s="66">
        <f t="shared" si="18"/>
        <v>0</v>
      </c>
      <c r="AO60" s="66">
        <f t="shared" si="18"/>
        <v>0</v>
      </c>
      <c r="AU60" s="48"/>
      <c r="AV60" s="48"/>
      <c r="AW60" s="48"/>
      <c r="AX60" s="48"/>
      <c r="AY60" s="48"/>
    </row>
    <row r="61" spans="1:51">
      <c r="A61" s="2">
        <f t="shared" si="10"/>
        <v>1.3541666666666661</v>
      </c>
      <c r="B61" s="2">
        <f t="shared" si="1"/>
        <v>1.3749999999999993</v>
      </c>
      <c r="C61" s="19"/>
      <c r="D61" s="19"/>
      <c r="E61" s="20"/>
      <c r="F61" s="20"/>
      <c r="G61" s="20"/>
      <c r="H61" s="20"/>
      <c r="I61" s="20"/>
      <c r="J61" s="20"/>
      <c r="K61" s="20"/>
      <c r="L61" s="20"/>
      <c r="O61" s="29">
        <f t="shared" si="22"/>
        <v>0</v>
      </c>
      <c r="P61" s="29">
        <f t="shared" si="22"/>
        <v>0</v>
      </c>
      <c r="Q61" s="29">
        <f t="shared" si="22"/>
        <v>0</v>
      </c>
      <c r="R61" s="30">
        <f t="shared" si="22"/>
        <v>0</v>
      </c>
      <c r="S61" s="30">
        <f t="shared" si="22"/>
        <v>0</v>
      </c>
      <c r="T61" s="30">
        <f t="shared" si="22"/>
        <v>0</v>
      </c>
      <c r="U61" s="30">
        <f t="shared" si="22"/>
        <v>0</v>
      </c>
      <c r="V61" s="30">
        <f t="shared" si="22"/>
        <v>0</v>
      </c>
      <c r="W61" s="30">
        <f t="shared" si="22"/>
        <v>0</v>
      </c>
      <c r="X61" s="30">
        <f t="shared" si="22"/>
        <v>0</v>
      </c>
      <c r="Y61" s="31">
        <f t="shared" si="3"/>
        <v>0</v>
      </c>
      <c r="Z61" s="32">
        <f t="shared" si="4"/>
        <v>0</v>
      </c>
      <c r="AA61" s="32">
        <f t="shared" si="5"/>
        <v>0</v>
      </c>
      <c r="AB61" s="31">
        <f t="shared" si="6"/>
        <v>0</v>
      </c>
      <c r="AC61" s="33">
        <f t="shared" si="7"/>
        <v>0</v>
      </c>
      <c r="AG61" s="66">
        <f t="shared" si="18"/>
        <v>0</v>
      </c>
      <c r="AH61" s="66">
        <f t="shared" si="18"/>
        <v>0</v>
      </c>
      <c r="AI61" s="66">
        <f t="shared" si="18"/>
        <v>0</v>
      </c>
      <c r="AJ61" s="66">
        <f t="shared" si="18"/>
        <v>0</v>
      </c>
      <c r="AK61" s="66">
        <f t="shared" si="18"/>
        <v>0</v>
      </c>
      <c r="AL61" s="66">
        <f t="shared" si="18"/>
        <v>0</v>
      </c>
      <c r="AM61" s="66">
        <f t="shared" si="18"/>
        <v>0</v>
      </c>
      <c r="AN61" s="66">
        <f t="shared" si="18"/>
        <v>0</v>
      </c>
      <c r="AO61" s="66">
        <f t="shared" si="18"/>
        <v>0</v>
      </c>
      <c r="AU61" s="48"/>
      <c r="AV61" s="48"/>
      <c r="AW61" s="48"/>
      <c r="AX61" s="48"/>
      <c r="AY61" s="48"/>
    </row>
    <row r="62" spans="1:51">
      <c r="A62" s="3">
        <f t="shared" si="10"/>
        <v>1.3749999999999993</v>
      </c>
      <c r="B62" s="3">
        <f t="shared" si="1"/>
        <v>1.3958333333333326</v>
      </c>
      <c r="C62" s="21"/>
      <c r="D62" s="21"/>
      <c r="E62" s="22"/>
      <c r="F62" s="22"/>
      <c r="G62" s="22"/>
      <c r="H62" s="22"/>
      <c r="I62" s="22"/>
      <c r="J62" s="22"/>
      <c r="K62" s="22"/>
      <c r="L62" s="22"/>
      <c r="O62" s="34">
        <f t="shared" si="22"/>
        <v>0</v>
      </c>
      <c r="P62" s="34">
        <f t="shared" si="22"/>
        <v>0</v>
      </c>
      <c r="Q62" s="34">
        <f t="shared" si="22"/>
        <v>0</v>
      </c>
      <c r="R62" s="35">
        <f t="shared" si="22"/>
        <v>0</v>
      </c>
      <c r="S62" s="35">
        <f t="shared" si="22"/>
        <v>0</v>
      </c>
      <c r="T62" s="35">
        <f t="shared" si="22"/>
        <v>0</v>
      </c>
      <c r="U62" s="35">
        <f t="shared" si="22"/>
        <v>0</v>
      </c>
      <c r="V62" s="35">
        <f t="shared" si="22"/>
        <v>0</v>
      </c>
      <c r="W62" s="35">
        <f t="shared" si="22"/>
        <v>0</v>
      </c>
      <c r="X62" s="35">
        <f t="shared" si="22"/>
        <v>0</v>
      </c>
      <c r="Y62" s="36">
        <f t="shared" si="3"/>
        <v>0</v>
      </c>
      <c r="Z62" s="37">
        <f t="shared" si="4"/>
        <v>0</v>
      </c>
      <c r="AA62" s="37">
        <f t="shared" si="5"/>
        <v>0</v>
      </c>
      <c r="AB62" s="36">
        <f t="shared" si="6"/>
        <v>0</v>
      </c>
      <c r="AC62" s="38">
        <f t="shared" si="7"/>
        <v>0</v>
      </c>
      <c r="AG62" s="66">
        <f t="shared" si="18"/>
        <v>0</v>
      </c>
      <c r="AH62" s="66">
        <f t="shared" si="18"/>
        <v>0</v>
      </c>
      <c r="AI62" s="66">
        <f t="shared" si="18"/>
        <v>0</v>
      </c>
      <c r="AJ62" s="66">
        <f t="shared" si="18"/>
        <v>0</v>
      </c>
      <c r="AK62" s="66">
        <f t="shared" si="18"/>
        <v>0</v>
      </c>
      <c r="AL62" s="66">
        <f t="shared" si="18"/>
        <v>0</v>
      </c>
      <c r="AM62" s="66">
        <f t="shared" si="18"/>
        <v>0</v>
      </c>
      <c r="AN62" s="66">
        <f t="shared" si="18"/>
        <v>0</v>
      </c>
      <c r="AO62" s="66">
        <f t="shared" si="18"/>
        <v>0</v>
      </c>
      <c r="AQ62" s="49">
        <f t="shared" ref="AQ62:AY62" si="26">SUM(O62:O65)</f>
        <v>0</v>
      </c>
      <c r="AR62" s="49">
        <f t="shared" si="26"/>
        <v>0</v>
      </c>
      <c r="AS62" s="49">
        <f t="shared" si="26"/>
        <v>0</v>
      </c>
      <c r="AT62" s="49">
        <f t="shared" si="26"/>
        <v>0</v>
      </c>
      <c r="AU62" s="49">
        <f t="shared" si="26"/>
        <v>0</v>
      </c>
      <c r="AV62" s="49">
        <f t="shared" si="26"/>
        <v>0</v>
      </c>
      <c r="AW62" s="49">
        <f t="shared" si="26"/>
        <v>0</v>
      </c>
      <c r="AX62" s="49">
        <f t="shared" si="26"/>
        <v>0</v>
      </c>
      <c r="AY62" s="49">
        <f t="shared" si="26"/>
        <v>0</v>
      </c>
    </row>
    <row r="63" spans="1:51">
      <c r="A63" s="1">
        <f t="shared" si="10"/>
        <v>1.3958333333333326</v>
      </c>
      <c r="B63" s="1">
        <f t="shared" si="1"/>
        <v>1.4166666666666659</v>
      </c>
      <c r="C63" s="17"/>
      <c r="D63" s="17"/>
      <c r="E63" s="18"/>
      <c r="F63" s="18"/>
      <c r="G63" s="18"/>
      <c r="H63" s="18"/>
      <c r="I63" s="18"/>
      <c r="J63" s="18"/>
      <c r="K63" s="18"/>
      <c r="L63" s="18"/>
      <c r="O63" s="24">
        <f t="shared" si="22"/>
        <v>0</v>
      </c>
      <c r="P63" s="24">
        <f t="shared" si="22"/>
        <v>0</v>
      </c>
      <c r="Q63" s="24">
        <f t="shared" si="22"/>
        <v>0</v>
      </c>
      <c r="R63" s="25">
        <f t="shared" si="22"/>
        <v>0</v>
      </c>
      <c r="S63" s="25">
        <f t="shared" si="22"/>
        <v>0</v>
      </c>
      <c r="T63" s="25">
        <f t="shared" si="22"/>
        <v>0</v>
      </c>
      <c r="U63" s="25">
        <f t="shared" si="22"/>
        <v>0</v>
      </c>
      <c r="V63" s="25">
        <f t="shared" si="22"/>
        <v>0</v>
      </c>
      <c r="W63" s="25">
        <f t="shared" si="22"/>
        <v>0</v>
      </c>
      <c r="X63" s="25">
        <f t="shared" si="22"/>
        <v>0</v>
      </c>
      <c r="Y63" s="26">
        <f t="shared" si="3"/>
        <v>0</v>
      </c>
      <c r="Z63" s="27">
        <f t="shared" si="4"/>
        <v>0</v>
      </c>
      <c r="AA63" s="27">
        <f t="shared" si="5"/>
        <v>0</v>
      </c>
      <c r="AB63" s="26">
        <f t="shared" si="6"/>
        <v>0</v>
      </c>
      <c r="AC63" s="28">
        <f t="shared" si="7"/>
        <v>0</v>
      </c>
      <c r="AG63" s="66">
        <f t="shared" si="18"/>
        <v>0</v>
      </c>
      <c r="AH63" s="66">
        <f t="shared" si="18"/>
        <v>0</v>
      </c>
      <c r="AI63" s="66">
        <f t="shared" si="18"/>
        <v>0</v>
      </c>
      <c r="AJ63" s="66">
        <f t="shared" si="18"/>
        <v>0</v>
      </c>
      <c r="AK63" s="66">
        <f t="shared" si="18"/>
        <v>0</v>
      </c>
      <c r="AL63" s="66">
        <f t="shared" si="18"/>
        <v>0</v>
      </c>
      <c r="AM63" s="66">
        <f t="shared" si="18"/>
        <v>0</v>
      </c>
      <c r="AN63" s="66">
        <f t="shared" si="18"/>
        <v>0</v>
      </c>
      <c r="AO63" s="66">
        <f t="shared" si="18"/>
        <v>0</v>
      </c>
      <c r="AU63" s="48"/>
      <c r="AV63" s="48"/>
      <c r="AW63" s="48"/>
      <c r="AX63" s="48"/>
      <c r="AY63" s="48"/>
    </row>
    <row r="64" spans="1:51">
      <c r="A64" s="1">
        <f t="shared" si="10"/>
        <v>1.4166666666666659</v>
      </c>
      <c r="B64" s="1">
        <f t="shared" si="1"/>
        <v>1.4374999999999991</v>
      </c>
      <c r="C64" s="17"/>
      <c r="D64" s="17"/>
      <c r="E64" s="18"/>
      <c r="F64" s="18"/>
      <c r="G64" s="18"/>
      <c r="H64" s="18"/>
      <c r="I64" s="18"/>
      <c r="J64" s="18"/>
      <c r="K64" s="18"/>
      <c r="L64" s="18"/>
      <c r="O64" s="24">
        <f t="shared" si="22"/>
        <v>0</v>
      </c>
      <c r="P64" s="24">
        <f t="shared" si="22"/>
        <v>0</v>
      </c>
      <c r="Q64" s="24">
        <f t="shared" si="22"/>
        <v>0</v>
      </c>
      <c r="R64" s="25">
        <f t="shared" si="22"/>
        <v>0</v>
      </c>
      <c r="S64" s="25">
        <f t="shared" si="22"/>
        <v>0</v>
      </c>
      <c r="T64" s="25">
        <f t="shared" si="22"/>
        <v>0</v>
      </c>
      <c r="U64" s="25">
        <f t="shared" si="22"/>
        <v>0</v>
      </c>
      <c r="V64" s="25">
        <f t="shared" si="22"/>
        <v>0</v>
      </c>
      <c r="W64" s="25">
        <f t="shared" si="22"/>
        <v>0</v>
      </c>
      <c r="X64" s="25">
        <f t="shared" si="22"/>
        <v>0</v>
      </c>
      <c r="Y64" s="26">
        <f t="shared" si="3"/>
        <v>0</v>
      </c>
      <c r="Z64" s="27">
        <f t="shared" si="4"/>
        <v>0</v>
      </c>
      <c r="AA64" s="27">
        <f t="shared" si="5"/>
        <v>0</v>
      </c>
      <c r="AB64" s="26">
        <f t="shared" si="6"/>
        <v>0</v>
      </c>
      <c r="AC64" s="28">
        <f t="shared" si="7"/>
        <v>0</v>
      </c>
      <c r="AG64" s="66">
        <f t="shared" si="18"/>
        <v>0</v>
      </c>
      <c r="AH64" s="66">
        <f t="shared" si="18"/>
        <v>0</v>
      </c>
      <c r="AI64" s="66">
        <f t="shared" si="18"/>
        <v>0</v>
      </c>
      <c r="AJ64" s="66">
        <f t="shared" si="18"/>
        <v>0</v>
      </c>
      <c r="AK64" s="66">
        <f t="shared" si="18"/>
        <v>0</v>
      </c>
      <c r="AL64" s="66">
        <f t="shared" si="18"/>
        <v>0</v>
      </c>
      <c r="AM64" s="66">
        <f t="shared" si="18"/>
        <v>0</v>
      </c>
      <c r="AN64" s="66">
        <f t="shared" si="18"/>
        <v>0</v>
      </c>
      <c r="AO64" s="66">
        <f t="shared" si="18"/>
        <v>0</v>
      </c>
      <c r="AU64" s="48"/>
      <c r="AV64" s="48"/>
      <c r="AW64" s="48"/>
      <c r="AX64" s="48"/>
      <c r="AY64" s="48"/>
    </row>
    <row r="65" spans="1:51" ht="15.75" thickBot="1">
      <c r="A65" s="4">
        <f t="shared" si="10"/>
        <v>1.4374999999999991</v>
      </c>
      <c r="B65" s="4">
        <f t="shared" si="1"/>
        <v>1.4583333333333324</v>
      </c>
      <c r="C65" s="19"/>
      <c r="D65" s="19"/>
      <c r="E65" s="20"/>
      <c r="F65" s="20"/>
      <c r="G65" s="20"/>
      <c r="H65" s="20"/>
      <c r="I65" s="20"/>
      <c r="J65" s="20"/>
      <c r="K65" s="20"/>
      <c r="L65" s="20"/>
      <c r="O65" s="39">
        <f t="shared" si="22"/>
        <v>0</v>
      </c>
      <c r="P65" s="39">
        <f t="shared" si="22"/>
        <v>0</v>
      </c>
      <c r="Q65" s="39">
        <f t="shared" si="22"/>
        <v>0</v>
      </c>
      <c r="R65" s="40">
        <f t="shared" si="22"/>
        <v>0</v>
      </c>
      <c r="S65" s="40">
        <f t="shared" si="22"/>
        <v>0</v>
      </c>
      <c r="T65" s="40">
        <f t="shared" si="22"/>
        <v>0</v>
      </c>
      <c r="U65" s="40">
        <f t="shared" si="22"/>
        <v>0</v>
      </c>
      <c r="V65" s="40">
        <f t="shared" si="22"/>
        <v>0</v>
      </c>
      <c r="W65" s="40">
        <f t="shared" si="22"/>
        <v>0</v>
      </c>
      <c r="X65" s="40">
        <f t="shared" si="22"/>
        <v>0</v>
      </c>
      <c r="Y65" s="41">
        <f t="shared" si="3"/>
        <v>0</v>
      </c>
      <c r="Z65" s="42">
        <f t="shared" si="4"/>
        <v>0</v>
      </c>
      <c r="AA65" s="42">
        <f t="shared" si="5"/>
        <v>0</v>
      </c>
      <c r="AB65" s="41">
        <f t="shared" si="6"/>
        <v>0</v>
      </c>
      <c r="AC65" s="43">
        <f t="shared" si="7"/>
        <v>0</v>
      </c>
      <c r="AG65" s="66">
        <f t="shared" si="18"/>
        <v>0</v>
      </c>
      <c r="AH65" s="66">
        <f t="shared" si="18"/>
        <v>0</v>
      </c>
      <c r="AI65" s="66">
        <f t="shared" si="18"/>
        <v>0</v>
      </c>
      <c r="AJ65" s="66">
        <f t="shared" si="18"/>
        <v>0</v>
      </c>
      <c r="AK65" s="66">
        <f t="shared" si="18"/>
        <v>0</v>
      </c>
      <c r="AL65" s="66">
        <f t="shared" si="18"/>
        <v>0</v>
      </c>
      <c r="AM65" s="66">
        <f t="shared" si="18"/>
        <v>0</v>
      </c>
      <c r="AN65" s="66">
        <f t="shared" si="18"/>
        <v>0</v>
      </c>
      <c r="AO65" s="66">
        <f t="shared" si="18"/>
        <v>0</v>
      </c>
      <c r="AU65" s="48"/>
      <c r="AV65" s="48"/>
      <c r="AW65" s="48"/>
      <c r="AX65" s="48"/>
      <c r="AY65" s="48"/>
    </row>
    <row r="66" spans="1:51" s="46" customFormat="1">
      <c r="AD66" s="46" t="s">
        <v>18</v>
      </c>
      <c r="AG66" s="48"/>
      <c r="AH66" s="48"/>
      <c r="AI66" s="48"/>
      <c r="AJ66" s="48"/>
      <c r="AK66" s="48"/>
      <c r="AL66" s="48"/>
      <c r="AM66" s="48"/>
      <c r="AN66" s="48"/>
      <c r="AO66" s="48"/>
    </row>
    <row r="67" spans="1:51" s="46" customFormat="1" ht="18">
      <c r="A67" s="45" t="s">
        <v>11</v>
      </c>
      <c r="AD67" s="70" t="s">
        <v>22</v>
      </c>
      <c r="AG67" s="48"/>
      <c r="AH67" s="48"/>
      <c r="AI67" s="48"/>
      <c r="AJ67" s="48"/>
      <c r="AK67" s="48"/>
      <c r="AL67" s="48"/>
      <c r="AM67" s="48"/>
      <c r="AN67" s="48"/>
      <c r="AO67" s="48"/>
    </row>
    <row r="68" spans="1:51">
      <c r="A68" s="3">
        <v>0.29166666666666674</v>
      </c>
      <c r="B68" s="3">
        <v>0.33333333333333348</v>
      </c>
      <c r="C68" s="21"/>
      <c r="D68" s="21"/>
      <c r="E68" s="22"/>
      <c r="F68" s="22"/>
      <c r="G68" s="22"/>
      <c r="H68" s="22"/>
      <c r="I68" s="22"/>
      <c r="J68" s="22"/>
      <c r="K68" s="22"/>
      <c r="L68" s="22"/>
      <c r="O68" s="34">
        <f>SUM(O10:O11)</f>
        <v>90</v>
      </c>
      <c r="P68" s="34">
        <f t="shared" ref="P68:X68" si="27">SUM(P10:P11)</f>
        <v>293</v>
      </c>
      <c r="Q68" s="34">
        <f t="shared" si="27"/>
        <v>204</v>
      </c>
      <c r="R68" s="35">
        <f t="shared" si="27"/>
        <v>9</v>
      </c>
      <c r="S68" s="35">
        <f t="shared" si="27"/>
        <v>1</v>
      </c>
      <c r="T68" s="35">
        <f t="shared" si="27"/>
        <v>2</v>
      </c>
      <c r="U68" s="35">
        <f t="shared" si="27"/>
        <v>1</v>
      </c>
      <c r="V68" s="35">
        <f t="shared" si="27"/>
        <v>4</v>
      </c>
      <c r="W68" s="35">
        <f t="shared" si="27"/>
        <v>2</v>
      </c>
      <c r="X68" s="35">
        <f t="shared" si="27"/>
        <v>0</v>
      </c>
      <c r="Y68" s="36">
        <f t="shared" ref="Y68:Y82" si="28">O68+Q68+R68</f>
        <v>303</v>
      </c>
      <c r="Z68" s="37">
        <f t="shared" ref="Z68:Z82" si="29">S68+T68+U68+P68</f>
        <v>297</v>
      </c>
      <c r="AA68" s="37">
        <f t="shared" ref="AA68:AA82" si="30">V68+W68</f>
        <v>6</v>
      </c>
      <c r="AB68" s="36">
        <f t="shared" ref="AB68:AB82" si="31">SUM(O68:W68)</f>
        <v>606</v>
      </c>
      <c r="AC68" s="38">
        <f t="shared" ref="AC68:AC82" si="32">SUM(AG68:AO68)</f>
        <v>421.5</v>
      </c>
      <c r="AD68" s="50">
        <f t="shared" ref="AD68:AE83" si="33">AB68/AB$83</f>
        <v>8.381742738589211E-2</v>
      </c>
      <c r="AE68" s="50">
        <f t="shared" si="33"/>
        <v>8.887717448603058E-2</v>
      </c>
      <c r="AG68" s="48">
        <f>O68*O$8</f>
        <v>45</v>
      </c>
      <c r="AH68" s="48">
        <f t="shared" ref="AG68:AO82" si="34">P68*P$8</f>
        <v>146.5</v>
      </c>
      <c r="AI68" s="48">
        <f t="shared" si="34"/>
        <v>204</v>
      </c>
      <c r="AJ68" s="48">
        <f t="shared" si="34"/>
        <v>9</v>
      </c>
      <c r="AK68" s="48">
        <f t="shared" si="34"/>
        <v>1</v>
      </c>
      <c r="AL68" s="48">
        <f t="shared" si="34"/>
        <v>3</v>
      </c>
      <c r="AM68" s="48">
        <f t="shared" si="34"/>
        <v>2</v>
      </c>
      <c r="AN68" s="48">
        <f t="shared" si="34"/>
        <v>6</v>
      </c>
      <c r="AO68" s="48">
        <f t="shared" si="34"/>
        <v>5</v>
      </c>
      <c r="AQ68" s="50"/>
    </row>
    <row r="69" spans="1:51">
      <c r="A69" s="3">
        <v>0.33333333333333348</v>
      </c>
      <c r="B69" s="3">
        <v>0.37500000000000022</v>
      </c>
      <c r="C69" s="21"/>
      <c r="D69" s="21"/>
      <c r="E69" s="22"/>
      <c r="F69" s="22"/>
      <c r="G69" s="22"/>
      <c r="H69" s="22"/>
      <c r="I69" s="22"/>
      <c r="J69" s="22"/>
      <c r="K69" s="22"/>
      <c r="L69" s="22"/>
      <c r="O69" s="34">
        <f>SUM(O12:O13)</f>
        <v>111</v>
      </c>
      <c r="P69" s="34">
        <f t="shared" ref="P69:X69" si="35">SUM(P12:P13)</f>
        <v>319</v>
      </c>
      <c r="Q69" s="34">
        <f t="shared" si="35"/>
        <v>218</v>
      </c>
      <c r="R69" s="35">
        <f t="shared" si="35"/>
        <v>16</v>
      </c>
      <c r="S69" s="35">
        <f t="shared" si="35"/>
        <v>1</v>
      </c>
      <c r="T69" s="35">
        <f t="shared" si="35"/>
        <v>0</v>
      </c>
      <c r="U69" s="35">
        <f t="shared" si="35"/>
        <v>0</v>
      </c>
      <c r="V69" s="35">
        <f t="shared" si="35"/>
        <v>6</v>
      </c>
      <c r="W69" s="35">
        <f t="shared" si="35"/>
        <v>12</v>
      </c>
      <c r="X69" s="35">
        <f>SUM(X12:X13)</f>
        <v>0</v>
      </c>
      <c r="Y69" s="36">
        <f t="shared" si="28"/>
        <v>345</v>
      </c>
      <c r="Z69" s="37">
        <f t="shared" si="29"/>
        <v>320</v>
      </c>
      <c r="AA69" s="37">
        <f t="shared" si="30"/>
        <v>18</v>
      </c>
      <c r="AB69" s="36">
        <f t="shared" si="31"/>
        <v>683</v>
      </c>
      <c r="AC69" s="38">
        <f t="shared" si="32"/>
        <v>489</v>
      </c>
      <c r="AD69" s="50">
        <f t="shared" si="33"/>
        <v>9.4467496542185336E-2</v>
      </c>
      <c r="AE69" s="50">
        <f t="shared" si="33"/>
        <v>0.10311017395888245</v>
      </c>
      <c r="AG69" s="48">
        <f t="shared" si="34"/>
        <v>55.5</v>
      </c>
      <c r="AH69" s="48">
        <f t="shared" si="34"/>
        <v>159.5</v>
      </c>
      <c r="AI69" s="48">
        <f t="shared" si="34"/>
        <v>218</v>
      </c>
      <c r="AJ69" s="48">
        <f t="shared" si="34"/>
        <v>16</v>
      </c>
      <c r="AK69" s="48">
        <f t="shared" si="34"/>
        <v>1</v>
      </c>
      <c r="AL69" s="48">
        <f t="shared" si="34"/>
        <v>0</v>
      </c>
      <c r="AM69" s="48">
        <f t="shared" si="34"/>
        <v>0</v>
      </c>
      <c r="AN69" s="48">
        <f t="shared" si="34"/>
        <v>9</v>
      </c>
      <c r="AO69" s="48">
        <f t="shared" si="34"/>
        <v>30</v>
      </c>
      <c r="AQ69" s="50"/>
    </row>
    <row r="70" spans="1:51">
      <c r="A70" s="3">
        <v>0.37500000000000022</v>
      </c>
      <c r="B70" s="3">
        <v>0.41666666666666696</v>
      </c>
      <c r="C70" s="21"/>
      <c r="D70" s="21"/>
      <c r="E70" s="22"/>
      <c r="F70" s="22"/>
      <c r="G70" s="22"/>
      <c r="H70" s="22"/>
      <c r="I70" s="22"/>
      <c r="J70" s="22"/>
      <c r="K70" s="22"/>
      <c r="L70" s="22"/>
      <c r="O70" s="34">
        <f>SUM(O14:O15)</f>
        <v>58</v>
      </c>
      <c r="P70" s="34">
        <f t="shared" ref="P70:X70" si="36">SUM(P14:P15)</f>
        <v>225</v>
      </c>
      <c r="Q70" s="34">
        <f t="shared" si="36"/>
        <v>145</v>
      </c>
      <c r="R70" s="35">
        <f t="shared" si="36"/>
        <v>17</v>
      </c>
      <c r="S70" s="35">
        <f t="shared" si="36"/>
        <v>0</v>
      </c>
      <c r="T70" s="35">
        <f t="shared" si="36"/>
        <v>0</v>
      </c>
      <c r="U70" s="35">
        <f t="shared" si="36"/>
        <v>1</v>
      </c>
      <c r="V70" s="35">
        <f t="shared" si="36"/>
        <v>4</v>
      </c>
      <c r="W70" s="35">
        <f t="shared" si="36"/>
        <v>5</v>
      </c>
      <c r="X70" s="35">
        <f t="shared" si="36"/>
        <v>0</v>
      </c>
      <c r="Y70" s="36">
        <f t="shared" si="28"/>
        <v>220</v>
      </c>
      <c r="Z70" s="37">
        <f t="shared" si="29"/>
        <v>226</v>
      </c>
      <c r="AA70" s="37">
        <f t="shared" si="30"/>
        <v>9</v>
      </c>
      <c r="AB70" s="36">
        <f t="shared" si="31"/>
        <v>455</v>
      </c>
      <c r="AC70" s="38">
        <f t="shared" si="32"/>
        <v>324</v>
      </c>
      <c r="AD70" s="50">
        <f t="shared" si="33"/>
        <v>6.2932226832641769E-2</v>
      </c>
      <c r="AE70" s="50">
        <f t="shared" si="33"/>
        <v>6.8318397469688985E-2</v>
      </c>
      <c r="AG70" s="48">
        <f t="shared" si="34"/>
        <v>29</v>
      </c>
      <c r="AH70" s="48">
        <f t="shared" si="34"/>
        <v>112.5</v>
      </c>
      <c r="AI70" s="48">
        <f t="shared" si="34"/>
        <v>145</v>
      </c>
      <c r="AJ70" s="48">
        <f t="shared" si="34"/>
        <v>17</v>
      </c>
      <c r="AK70" s="48">
        <f t="shared" si="34"/>
        <v>0</v>
      </c>
      <c r="AL70" s="48">
        <f t="shared" si="34"/>
        <v>0</v>
      </c>
      <c r="AM70" s="48">
        <f t="shared" si="34"/>
        <v>2</v>
      </c>
      <c r="AN70" s="48">
        <f t="shared" si="34"/>
        <v>6</v>
      </c>
      <c r="AO70" s="48">
        <f t="shared" si="34"/>
        <v>12.5</v>
      </c>
      <c r="AQ70" s="50"/>
    </row>
    <row r="71" spans="1:51">
      <c r="A71" s="3">
        <v>0.41666666666666696</v>
      </c>
      <c r="B71" s="3">
        <v>0.4583333333333337</v>
      </c>
      <c r="C71" s="21"/>
      <c r="D71" s="21"/>
      <c r="E71" s="22"/>
      <c r="F71" s="22"/>
      <c r="G71" s="22"/>
      <c r="H71" s="22"/>
      <c r="I71" s="22"/>
      <c r="J71" s="22"/>
      <c r="K71" s="22"/>
      <c r="L71" s="22"/>
      <c r="O71" s="34">
        <f>SUM(O16:O17)</f>
        <v>77</v>
      </c>
      <c r="P71" s="34">
        <f t="shared" ref="P71:X71" si="37">SUM(P16:P17)</f>
        <v>242</v>
      </c>
      <c r="Q71" s="34">
        <f t="shared" si="37"/>
        <v>132</v>
      </c>
      <c r="R71" s="35">
        <f t="shared" si="37"/>
        <v>22</v>
      </c>
      <c r="S71" s="35">
        <f t="shared" si="37"/>
        <v>0</v>
      </c>
      <c r="T71" s="35">
        <f t="shared" si="37"/>
        <v>0</v>
      </c>
      <c r="U71" s="35">
        <f t="shared" si="37"/>
        <v>0</v>
      </c>
      <c r="V71" s="35">
        <f t="shared" si="37"/>
        <v>10</v>
      </c>
      <c r="W71" s="35">
        <f t="shared" si="37"/>
        <v>3</v>
      </c>
      <c r="X71" s="35">
        <f t="shared" si="37"/>
        <v>0</v>
      </c>
      <c r="Y71" s="36">
        <f t="shared" si="28"/>
        <v>231</v>
      </c>
      <c r="Z71" s="37">
        <f t="shared" si="29"/>
        <v>242</v>
      </c>
      <c r="AA71" s="37">
        <f t="shared" si="30"/>
        <v>13</v>
      </c>
      <c r="AB71" s="36">
        <f t="shared" si="31"/>
        <v>486</v>
      </c>
      <c r="AC71" s="38">
        <f t="shared" si="32"/>
        <v>336</v>
      </c>
      <c r="AD71" s="50">
        <f t="shared" si="33"/>
        <v>6.721991701244813E-2</v>
      </c>
      <c r="AE71" s="50">
        <f t="shared" si="33"/>
        <v>7.0848708487084869E-2</v>
      </c>
      <c r="AG71" s="48">
        <f t="shared" si="34"/>
        <v>38.5</v>
      </c>
      <c r="AH71" s="48">
        <f t="shared" si="34"/>
        <v>121</v>
      </c>
      <c r="AI71" s="48">
        <f t="shared" si="34"/>
        <v>132</v>
      </c>
      <c r="AJ71" s="48">
        <f t="shared" si="34"/>
        <v>22</v>
      </c>
      <c r="AK71" s="48">
        <f t="shared" si="34"/>
        <v>0</v>
      </c>
      <c r="AL71" s="48">
        <f t="shared" si="34"/>
        <v>0</v>
      </c>
      <c r="AM71" s="48">
        <f t="shared" si="34"/>
        <v>0</v>
      </c>
      <c r="AN71" s="48">
        <f t="shared" si="34"/>
        <v>15</v>
      </c>
      <c r="AO71" s="48">
        <f t="shared" si="34"/>
        <v>7.5</v>
      </c>
      <c r="AQ71" s="50"/>
    </row>
    <row r="72" spans="1:51">
      <c r="A72" s="3">
        <v>0.4583333333333337</v>
      </c>
      <c r="B72" s="3">
        <v>0.50000000000000044</v>
      </c>
      <c r="C72" s="21"/>
      <c r="D72" s="21"/>
      <c r="E72" s="22"/>
      <c r="F72" s="22"/>
      <c r="G72" s="22"/>
      <c r="H72" s="22"/>
      <c r="I72" s="22"/>
      <c r="J72" s="22"/>
      <c r="K72" s="22"/>
      <c r="L72" s="22"/>
      <c r="O72" s="34">
        <f>SUM(O18:O19)</f>
        <v>69</v>
      </c>
      <c r="P72" s="34">
        <f t="shared" ref="P72:X72" si="38">SUM(P18:P19)</f>
        <v>308</v>
      </c>
      <c r="Q72" s="34">
        <f t="shared" si="38"/>
        <v>109</v>
      </c>
      <c r="R72" s="35">
        <f t="shared" si="38"/>
        <v>24</v>
      </c>
      <c r="S72" s="35">
        <f t="shared" si="38"/>
        <v>0</v>
      </c>
      <c r="T72" s="35">
        <f t="shared" si="38"/>
        <v>0</v>
      </c>
      <c r="U72" s="35">
        <f t="shared" si="38"/>
        <v>1</v>
      </c>
      <c r="V72" s="35">
        <f t="shared" si="38"/>
        <v>5</v>
      </c>
      <c r="W72" s="35">
        <f t="shared" si="38"/>
        <v>6</v>
      </c>
      <c r="X72" s="35">
        <f t="shared" si="38"/>
        <v>0</v>
      </c>
      <c r="Y72" s="36">
        <f t="shared" si="28"/>
        <v>202</v>
      </c>
      <c r="Z72" s="37">
        <f t="shared" si="29"/>
        <v>309</v>
      </c>
      <c r="AA72" s="37">
        <f t="shared" si="30"/>
        <v>11</v>
      </c>
      <c r="AB72" s="36">
        <f t="shared" si="31"/>
        <v>522</v>
      </c>
      <c r="AC72" s="38">
        <f t="shared" si="32"/>
        <v>346</v>
      </c>
      <c r="AD72" s="50">
        <f t="shared" si="33"/>
        <v>7.2199170124481321E-2</v>
      </c>
      <c r="AE72" s="50">
        <f t="shared" si="33"/>
        <v>7.2957301001581445E-2</v>
      </c>
      <c r="AG72" s="48">
        <f t="shared" si="34"/>
        <v>34.5</v>
      </c>
      <c r="AH72" s="48">
        <f t="shared" si="34"/>
        <v>154</v>
      </c>
      <c r="AI72" s="48">
        <f t="shared" si="34"/>
        <v>109</v>
      </c>
      <c r="AJ72" s="48">
        <f t="shared" si="34"/>
        <v>24</v>
      </c>
      <c r="AK72" s="48">
        <f t="shared" si="34"/>
        <v>0</v>
      </c>
      <c r="AL72" s="48">
        <f t="shared" si="34"/>
        <v>0</v>
      </c>
      <c r="AM72" s="48">
        <f t="shared" si="34"/>
        <v>2</v>
      </c>
      <c r="AN72" s="48">
        <f t="shared" si="34"/>
        <v>7.5</v>
      </c>
      <c r="AO72" s="48">
        <f t="shared" si="34"/>
        <v>15</v>
      </c>
      <c r="AQ72" s="50"/>
    </row>
    <row r="73" spans="1:51">
      <c r="A73" s="3">
        <v>0.50000000000000044</v>
      </c>
      <c r="B73" s="3">
        <v>0.54166666666666696</v>
      </c>
      <c r="C73" s="21"/>
      <c r="D73" s="21"/>
      <c r="E73" s="22"/>
      <c r="F73" s="22"/>
      <c r="G73" s="22"/>
      <c r="H73" s="22"/>
      <c r="I73" s="22"/>
      <c r="J73" s="22"/>
      <c r="K73" s="22"/>
      <c r="L73" s="22"/>
      <c r="O73" s="34">
        <f>SUM(O20:O21)</f>
        <v>91</v>
      </c>
      <c r="P73" s="34">
        <f t="shared" ref="P73:X73" si="39">SUM(P20:P21)</f>
        <v>278</v>
      </c>
      <c r="Q73" s="34">
        <f t="shared" si="39"/>
        <v>125</v>
      </c>
      <c r="R73" s="35">
        <f t="shared" si="39"/>
        <v>21</v>
      </c>
      <c r="S73" s="35">
        <f t="shared" si="39"/>
        <v>0</v>
      </c>
      <c r="T73" s="35">
        <f t="shared" si="39"/>
        <v>0</v>
      </c>
      <c r="U73" s="35">
        <f t="shared" si="39"/>
        <v>0</v>
      </c>
      <c r="V73" s="35">
        <f t="shared" si="39"/>
        <v>6</v>
      </c>
      <c r="W73" s="35">
        <f t="shared" si="39"/>
        <v>3</v>
      </c>
      <c r="X73" s="35">
        <f t="shared" si="39"/>
        <v>0</v>
      </c>
      <c r="Y73" s="36">
        <f t="shared" si="28"/>
        <v>237</v>
      </c>
      <c r="Z73" s="37">
        <f t="shared" si="29"/>
        <v>278</v>
      </c>
      <c r="AA73" s="37">
        <f t="shared" si="30"/>
        <v>9</v>
      </c>
      <c r="AB73" s="36">
        <f t="shared" si="31"/>
        <v>524</v>
      </c>
      <c r="AC73" s="38">
        <f t="shared" si="32"/>
        <v>347</v>
      </c>
      <c r="AD73" s="50">
        <f t="shared" si="33"/>
        <v>7.2475795297372067E-2</v>
      </c>
      <c r="AE73" s="50">
        <f t="shared" si="33"/>
        <v>7.3168160253031106E-2</v>
      </c>
      <c r="AG73" s="48">
        <f t="shared" si="34"/>
        <v>45.5</v>
      </c>
      <c r="AH73" s="48">
        <f t="shared" si="34"/>
        <v>139</v>
      </c>
      <c r="AI73" s="48">
        <f t="shared" si="34"/>
        <v>125</v>
      </c>
      <c r="AJ73" s="48">
        <f t="shared" si="34"/>
        <v>21</v>
      </c>
      <c r="AK73" s="48">
        <f t="shared" si="34"/>
        <v>0</v>
      </c>
      <c r="AL73" s="48">
        <f t="shared" si="34"/>
        <v>0</v>
      </c>
      <c r="AM73" s="48">
        <f t="shared" si="34"/>
        <v>0</v>
      </c>
      <c r="AN73" s="48">
        <f t="shared" si="34"/>
        <v>9</v>
      </c>
      <c r="AO73" s="48">
        <f t="shared" si="34"/>
        <v>7.5</v>
      </c>
      <c r="AQ73" s="50"/>
    </row>
    <row r="74" spans="1:51">
      <c r="A74" s="3">
        <v>0.54166666666666696</v>
      </c>
      <c r="B74" s="3">
        <v>0.58333333333333348</v>
      </c>
      <c r="C74" s="21"/>
      <c r="D74" s="21"/>
      <c r="E74" s="22"/>
      <c r="F74" s="22"/>
      <c r="G74" s="22"/>
      <c r="H74" s="22"/>
      <c r="I74" s="22"/>
      <c r="J74" s="22"/>
      <c r="K74" s="22"/>
      <c r="L74" s="22"/>
      <c r="O74" s="34">
        <f>SUM(O22:O23)</f>
        <v>77</v>
      </c>
      <c r="P74" s="34">
        <f t="shared" ref="P74:X74" si="40">SUM(P22:P23)</f>
        <v>234</v>
      </c>
      <c r="Q74" s="34">
        <f>SUM(Q22:Q23)</f>
        <v>86</v>
      </c>
      <c r="R74" s="35">
        <f t="shared" si="40"/>
        <v>13</v>
      </c>
      <c r="S74" s="35">
        <f t="shared" si="40"/>
        <v>0</v>
      </c>
      <c r="T74" s="35">
        <f t="shared" si="40"/>
        <v>0</v>
      </c>
      <c r="U74" s="35">
        <f t="shared" si="40"/>
        <v>0</v>
      </c>
      <c r="V74" s="35">
        <f t="shared" si="40"/>
        <v>2</v>
      </c>
      <c r="W74" s="35">
        <f t="shared" si="40"/>
        <v>6</v>
      </c>
      <c r="X74" s="35">
        <f t="shared" si="40"/>
        <v>0</v>
      </c>
      <c r="Y74" s="36">
        <f t="shared" si="28"/>
        <v>176</v>
      </c>
      <c r="Z74" s="37">
        <f t="shared" si="29"/>
        <v>234</v>
      </c>
      <c r="AA74" s="37">
        <f t="shared" si="30"/>
        <v>8</v>
      </c>
      <c r="AB74" s="36">
        <f t="shared" si="31"/>
        <v>418</v>
      </c>
      <c r="AC74" s="38">
        <f t="shared" si="32"/>
        <v>272.5</v>
      </c>
      <c r="AD74" s="50">
        <f t="shared" si="33"/>
        <v>5.7814661134163212E-2</v>
      </c>
      <c r="AE74" s="50">
        <f t="shared" si="33"/>
        <v>5.7459146020031632E-2</v>
      </c>
      <c r="AG74" s="48">
        <f t="shared" si="34"/>
        <v>38.5</v>
      </c>
      <c r="AH74" s="48">
        <f t="shared" si="34"/>
        <v>117</v>
      </c>
      <c r="AI74" s="48">
        <f t="shared" si="34"/>
        <v>86</v>
      </c>
      <c r="AJ74" s="48">
        <f t="shared" si="34"/>
        <v>13</v>
      </c>
      <c r="AK74" s="48">
        <f t="shared" si="34"/>
        <v>0</v>
      </c>
      <c r="AL74" s="48">
        <f t="shared" si="34"/>
        <v>0</v>
      </c>
      <c r="AM74" s="48">
        <f t="shared" si="34"/>
        <v>0</v>
      </c>
      <c r="AN74" s="48">
        <f t="shared" si="34"/>
        <v>3</v>
      </c>
      <c r="AO74" s="48">
        <f t="shared" si="34"/>
        <v>15</v>
      </c>
      <c r="AQ74" s="50"/>
    </row>
    <row r="75" spans="1:51">
      <c r="A75" s="3">
        <v>0.58333333333333348</v>
      </c>
      <c r="B75" s="3">
        <v>0.625</v>
      </c>
      <c r="C75" s="21"/>
      <c r="D75" s="21"/>
      <c r="E75" s="22"/>
      <c r="F75" s="22"/>
      <c r="G75" s="22"/>
      <c r="H75" s="22"/>
      <c r="I75" s="22"/>
      <c r="J75" s="22"/>
      <c r="K75" s="22"/>
      <c r="L75" s="22"/>
      <c r="O75" s="34">
        <f>SUM(O24:O25)</f>
        <v>92</v>
      </c>
      <c r="P75" s="34">
        <f t="shared" ref="P75:X75" si="41">SUM(P24:P25)</f>
        <v>254</v>
      </c>
      <c r="Q75" s="34">
        <f t="shared" si="41"/>
        <v>135</v>
      </c>
      <c r="R75" s="35">
        <f t="shared" si="41"/>
        <v>26</v>
      </c>
      <c r="S75" s="35">
        <f t="shared" si="41"/>
        <v>1</v>
      </c>
      <c r="T75" s="35">
        <f t="shared" si="41"/>
        <v>1</v>
      </c>
      <c r="U75" s="35">
        <f t="shared" si="41"/>
        <v>6</v>
      </c>
      <c r="V75" s="35">
        <f t="shared" si="41"/>
        <v>3</v>
      </c>
      <c r="W75" s="35">
        <f t="shared" si="41"/>
        <v>5</v>
      </c>
      <c r="X75" s="35">
        <f t="shared" si="41"/>
        <v>0</v>
      </c>
      <c r="Y75" s="36">
        <f t="shared" si="28"/>
        <v>253</v>
      </c>
      <c r="Z75" s="37">
        <f t="shared" si="29"/>
        <v>262</v>
      </c>
      <c r="AA75" s="37">
        <f t="shared" si="30"/>
        <v>8</v>
      </c>
      <c r="AB75" s="36">
        <f t="shared" si="31"/>
        <v>523</v>
      </c>
      <c r="AC75" s="38">
        <f t="shared" si="32"/>
        <v>365.5</v>
      </c>
      <c r="AD75" s="50">
        <f t="shared" si="33"/>
        <v>7.2337482710926701E-2</v>
      </c>
      <c r="AE75" s="50">
        <f t="shared" si="33"/>
        <v>7.7069056404849762E-2</v>
      </c>
      <c r="AG75" s="48">
        <f t="shared" si="34"/>
        <v>46</v>
      </c>
      <c r="AH75" s="48">
        <f t="shared" si="34"/>
        <v>127</v>
      </c>
      <c r="AI75" s="48">
        <f t="shared" si="34"/>
        <v>135</v>
      </c>
      <c r="AJ75" s="48">
        <f t="shared" si="34"/>
        <v>26</v>
      </c>
      <c r="AK75" s="48">
        <f t="shared" si="34"/>
        <v>1</v>
      </c>
      <c r="AL75" s="48">
        <f t="shared" si="34"/>
        <v>1.5</v>
      </c>
      <c r="AM75" s="48">
        <f t="shared" si="34"/>
        <v>12</v>
      </c>
      <c r="AN75" s="48">
        <f t="shared" si="34"/>
        <v>4.5</v>
      </c>
      <c r="AO75" s="48">
        <f t="shared" si="34"/>
        <v>12.5</v>
      </c>
      <c r="AQ75" s="50"/>
    </row>
    <row r="76" spans="1:51" s="48" customFormat="1">
      <c r="A76" s="3">
        <v>0.625</v>
      </c>
      <c r="B76" s="3">
        <v>0.66666666666666652</v>
      </c>
      <c r="C76" s="21"/>
      <c r="D76" s="21"/>
      <c r="E76" s="22"/>
      <c r="F76" s="22"/>
      <c r="G76" s="22"/>
      <c r="H76" s="22"/>
      <c r="I76" s="22"/>
      <c r="J76" s="22"/>
      <c r="K76" s="22"/>
      <c r="L76" s="22"/>
      <c r="O76" s="34">
        <f>SUM(O26:O27)</f>
        <v>75</v>
      </c>
      <c r="P76" s="34">
        <f t="shared" ref="P76:X76" si="42">SUM(P26:P27)</f>
        <v>255</v>
      </c>
      <c r="Q76" s="34">
        <f t="shared" si="42"/>
        <v>84</v>
      </c>
      <c r="R76" s="35">
        <f t="shared" si="42"/>
        <v>12</v>
      </c>
      <c r="S76" s="35">
        <f t="shared" si="42"/>
        <v>0</v>
      </c>
      <c r="T76" s="35">
        <f t="shared" si="42"/>
        <v>0</v>
      </c>
      <c r="U76" s="35">
        <f t="shared" si="42"/>
        <v>2</v>
      </c>
      <c r="V76" s="35">
        <f t="shared" si="42"/>
        <v>3</v>
      </c>
      <c r="W76" s="35">
        <f t="shared" si="42"/>
        <v>8</v>
      </c>
      <c r="X76" s="35">
        <f t="shared" si="42"/>
        <v>0</v>
      </c>
      <c r="Y76" s="36">
        <f t="shared" si="28"/>
        <v>171</v>
      </c>
      <c r="Z76" s="37">
        <f t="shared" si="29"/>
        <v>257</v>
      </c>
      <c r="AA76" s="37">
        <f t="shared" si="30"/>
        <v>11</v>
      </c>
      <c r="AB76" s="36">
        <f t="shared" si="31"/>
        <v>439</v>
      </c>
      <c r="AC76" s="38">
        <f t="shared" si="32"/>
        <v>289.5</v>
      </c>
      <c r="AD76" s="50">
        <f t="shared" si="33"/>
        <v>6.0719225449515905E-2</v>
      </c>
      <c r="AE76" s="50">
        <f t="shared" si="33"/>
        <v>6.1043753294675804E-2</v>
      </c>
      <c r="AG76" s="48">
        <f t="shared" si="34"/>
        <v>37.5</v>
      </c>
      <c r="AH76" s="48">
        <f t="shared" si="34"/>
        <v>127.5</v>
      </c>
      <c r="AI76" s="48">
        <f t="shared" si="34"/>
        <v>84</v>
      </c>
      <c r="AJ76" s="48">
        <f t="shared" si="34"/>
        <v>12</v>
      </c>
      <c r="AK76" s="48">
        <f t="shared" si="34"/>
        <v>0</v>
      </c>
      <c r="AL76" s="48">
        <f t="shared" si="34"/>
        <v>0</v>
      </c>
      <c r="AM76" s="48">
        <f t="shared" si="34"/>
        <v>4</v>
      </c>
      <c r="AN76" s="48">
        <f t="shared" si="34"/>
        <v>4.5</v>
      </c>
      <c r="AO76" s="48">
        <f t="shared" si="34"/>
        <v>20</v>
      </c>
      <c r="AQ76" s="50"/>
      <c r="AU76" s="5"/>
      <c r="AV76" s="5"/>
      <c r="AW76" s="5"/>
      <c r="AX76" s="5"/>
      <c r="AY76" s="5"/>
    </row>
    <row r="77" spans="1:51" s="48" customFormat="1">
      <c r="A77" s="3">
        <v>0.66666666666666652</v>
      </c>
      <c r="B77" s="3">
        <v>0.70833333333333304</v>
      </c>
      <c r="C77" s="21"/>
      <c r="D77" s="21"/>
      <c r="E77" s="22"/>
      <c r="F77" s="22"/>
      <c r="G77" s="22"/>
      <c r="H77" s="22"/>
      <c r="I77" s="22"/>
      <c r="J77" s="22"/>
      <c r="K77" s="22"/>
      <c r="L77" s="22"/>
      <c r="O77" s="34">
        <f>SUM(O28:O29)</f>
        <v>102</v>
      </c>
      <c r="P77" s="34">
        <f t="shared" ref="P77:X77" si="43">SUM(P28:P29)</f>
        <v>358</v>
      </c>
      <c r="Q77" s="34">
        <f t="shared" si="43"/>
        <v>79</v>
      </c>
      <c r="R77" s="35">
        <f t="shared" si="43"/>
        <v>5</v>
      </c>
      <c r="S77" s="35">
        <f t="shared" si="43"/>
        <v>1</v>
      </c>
      <c r="T77" s="35">
        <f t="shared" si="43"/>
        <v>0</v>
      </c>
      <c r="U77" s="35">
        <f t="shared" si="43"/>
        <v>6</v>
      </c>
      <c r="V77" s="35">
        <f t="shared" si="43"/>
        <v>8</v>
      </c>
      <c r="W77" s="35">
        <f t="shared" si="43"/>
        <v>8</v>
      </c>
      <c r="X77" s="35">
        <f t="shared" si="43"/>
        <v>0</v>
      </c>
      <c r="Y77" s="36">
        <f t="shared" si="28"/>
        <v>186</v>
      </c>
      <c r="Z77" s="37">
        <f t="shared" si="29"/>
        <v>365</v>
      </c>
      <c r="AA77" s="37">
        <f t="shared" si="30"/>
        <v>16</v>
      </c>
      <c r="AB77" s="36">
        <f t="shared" si="31"/>
        <v>567</v>
      </c>
      <c r="AC77" s="38">
        <f t="shared" si="32"/>
        <v>359</v>
      </c>
      <c r="AD77" s="50">
        <f t="shared" si="33"/>
        <v>7.8423236514522821E-2</v>
      </c>
      <c r="AE77" s="50">
        <f t="shared" si="33"/>
        <v>7.569847127042699E-2</v>
      </c>
      <c r="AG77" s="48">
        <f t="shared" si="34"/>
        <v>51</v>
      </c>
      <c r="AH77" s="48">
        <f t="shared" si="34"/>
        <v>179</v>
      </c>
      <c r="AI77" s="48">
        <f t="shared" si="34"/>
        <v>79</v>
      </c>
      <c r="AJ77" s="48">
        <f t="shared" si="34"/>
        <v>5</v>
      </c>
      <c r="AK77" s="48">
        <f t="shared" si="34"/>
        <v>1</v>
      </c>
      <c r="AL77" s="48">
        <f t="shared" si="34"/>
        <v>0</v>
      </c>
      <c r="AM77" s="48">
        <f t="shared" si="34"/>
        <v>12</v>
      </c>
      <c r="AN77" s="48">
        <f t="shared" si="34"/>
        <v>12</v>
      </c>
      <c r="AO77" s="48">
        <f t="shared" si="34"/>
        <v>20</v>
      </c>
      <c r="AQ77" s="50"/>
      <c r="AU77" s="5"/>
      <c r="AV77" s="5"/>
      <c r="AW77" s="5"/>
      <c r="AX77" s="5"/>
      <c r="AY77" s="5"/>
    </row>
    <row r="78" spans="1:51" s="48" customFormat="1">
      <c r="A78" s="3">
        <v>0.70833333333333304</v>
      </c>
      <c r="B78" s="3">
        <v>0.74999999999999956</v>
      </c>
      <c r="C78" s="21"/>
      <c r="D78" s="21"/>
      <c r="E78" s="22"/>
      <c r="F78" s="22"/>
      <c r="G78" s="22"/>
      <c r="H78" s="22"/>
      <c r="I78" s="22"/>
      <c r="J78" s="22"/>
      <c r="K78" s="22"/>
      <c r="L78" s="22"/>
      <c r="O78" s="34">
        <f>SUM(O30:O31)</f>
        <v>161</v>
      </c>
      <c r="P78" s="34">
        <f t="shared" ref="P78:X78" si="44">SUM(P30:P31)</f>
        <v>542</v>
      </c>
      <c r="Q78" s="34">
        <f t="shared" si="44"/>
        <v>68</v>
      </c>
      <c r="R78" s="35">
        <f t="shared" si="44"/>
        <v>15</v>
      </c>
      <c r="S78" s="35">
        <f t="shared" si="44"/>
        <v>2</v>
      </c>
      <c r="T78" s="35">
        <f t="shared" si="44"/>
        <v>0</v>
      </c>
      <c r="U78" s="35">
        <f t="shared" si="44"/>
        <v>0</v>
      </c>
      <c r="V78" s="35">
        <f t="shared" si="44"/>
        <v>6</v>
      </c>
      <c r="W78" s="35">
        <f t="shared" si="44"/>
        <v>14</v>
      </c>
      <c r="X78" s="35">
        <f t="shared" si="44"/>
        <v>0</v>
      </c>
      <c r="Y78" s="36">
        <f t="shared" si="28"/>
        <v>244</v>
      </c>
      <c r="Z78" s="37">
        <f t="shared" si="29"/>
        <v>544</v>
      </c>
      <c r="AA78" s="37">
        <f t="shared" si="30"/>
        <v>20</v>
      </c>
      <c r="AB78" s="36">
        <f t="shared" si="31"/>
        <v>808</v>
      </c>
      <c r="AC78" s="38">
        <f t="shared" si="32"/>
        <v>480.5</v>
      </c>
      <c r="AD78" s="50">
        <f t="shared" si="33"/>
        <v>0.11175656984785616</v>
      </c>
      <c r="AE78" s="50">
        <f t="shared" si="33"/>
        <v>0.10131787032156035</v>
      </c>
      <c r="AG78" s="48">
        <f t="shared" si="34"/>
        <v>80.5</v>
      </c>
      <c r="AH78" s="48">
        <f t="shared" si="34"/>
        <v>271</v>
      </c>
      <c r="AI78" s="48">
        <f t="shared" si="34"/>
        <v>68</v>
      </c>
      <c r="AJ78" s="48">
        <f t="shared" si="34"/>
        <v>15</v>
      </c>
      <c r="AK78" s="48">
        <f t="shared" si="34"/>
        <v>2</v>
      </c>
      <c r="AL78" s="48">
        <f t="shared" si="34"/>
        <v>0</v>
      </c>
      <c r="AM78" s="48">
        <f t="shared" si="34"/>
        <v>0</v>
      </c>
      <c r="AN78" s="48">
        <f t="shared" si="34"/>
        <v>9</v>
      </c>
      <c r="AO78" s="48">
        <f t="shared" si="34"/>
        <v>35</v>
      </c>
      <c r="AQ78" s="50"/>
      <c r="AU78" s="5"/>
      <c r="AV78" s="5"/>
      <c r="AW78" s="5"/>
      <c r="AX78" s="5"/>
      <c r="AY78" s="5"/>
    </row>
    <row r="79" spans="1:51" s="48" customFormat="1">
      <c r="A79" s="3">
        <v>0.74999999999999956</v>
      </c>
      <c r="B79" s="3">
        <v>0.79166666666666607</v>
      </c>
      <c r="C79" s="21"/>
      <c r="D79" s="21"/>
      <c r="E79" s="22"/>
      <c r="F79" s="22"/>
      <c r="G79" s="22"/>
      <c r="H79" s="22"/>
      <c r="I79" s="22"/>
      <c r="J79" s="22"/>
      <c r="K79" s="22"/>
      <c r="L79" s="22"/>
      <c r="O79" s="34">
        <f>SUM(O32:O33)</f>
        <v>86</v>
      </c>
      <c r="P79" s="34">
        <f t="shared" ref="P79:X79" si="45">SUM(P32:P33)</f>
        <v>362</v>
      </c>
      <c r="Q79" s="34">
        <f t="shared" si="45"/>
        <v>47</v>
      </c>
      <c r="R79" s="35">
        <f t="shared" si="45"/>
        <v>22</v>
      </c>
      <c r="S79" s="35">
        <f t="shared" si="45"/>
        <v>0</v>
      </c>
      <c r="T79" s="35">
        <f t="shared" si="45"/>
        <v>0</v>
      </c>
      <c r="U79" s="35">
        <f t="shared" si="45"/>
        <v>0</v>
      </c>
      <c r="V79" s="35">
        <f t="shared" si="45"/>
        <v>5</v>
      </c>
      <c r="W79" s="35">
        <f t="shared" si="45"/>
        <v>4</v>
      </c>
      <c r="X79" s="35">
        <f t="shared" si="45"/>
        <v>0</v>
      </c>
      <c r="Y79" s="36">
        <f t="shared" si="28"/>
        <v>155</v>
      </c>
      <c r="Z79" s="37">
        <f t="shared" si="29"/>
        <v>362</v>
      </c>
      <c r="AA79" s="37">
        <f t="shared" si="30"/>
        <v>9</v>
      </c>
      <c r="AB79" s="36">
        <f t="shared" si="31"/>
        <v>526</v>
      </c>
      <c r="AC79" s="38">
        <f t="shared" si="32"/>
        <v>310.5</v>
      </c>
      <c r="AD79" s="50">
        <f t="shared" si="33"/>
        <v>7.2752420470262799E-2</v>
      </c>
      <c r="AE79" s="50">
        <f t="shared" si="33"/>
        <v>6.5471797575118604E-2</v>
      </c>
      <c r="AG79" s="48">
        <f t="shared" si="34"/>
        <v>43</v>
      </c>
      <c r="AH79" s="48">
        <f t="shared" si="34"/>
        <v>181</v>
      </c>
      <c r="AI79" s="48">
        <f t="shared" si="34"/>
        <v>47</v>
      </c>
      <c r="AJ79" s="48">
        <f t="shared" si="34"/>
        <v>22</v>
      </c>
      <c r="AK79" s="48">
        <f t="shared" si="34"/>
        <v>0</v>
      </c>
      <c r="AL79" s="48">
        <f t="shared" si="34"/>
        <v>0</v>
      </c>
      <c r="AM79" s="48">
        <f t="shared" si="34"/>
        <v>0</v>
      </c>
      <c r="AN79" s="48">
        <f t="shared" si="34"/>
        <v>7.5</v>
      </c>
      <c r="AO79" s="48">
        <f t="shared" si="34"/>
        <v>10</v>
      </c>
      <c r="AQ79" s="50"/>
      <c r="AU79" s="5"/>
      <c r="AV79" s="5"/>
      <c r="AW79" s="5"/>
      <c r="AX79" s="5"/>
      <c r="AY79" s="5"/>
    </row>
    <row r="80" spans="1:51" s="48" customFormat="1">
      <c r="A80" s="3">
        <v>0.79166666666666607</v>
      </c>
      <c r="B80" s="3">
        <v>0.83333333333333259</v>
      </c>
      <c r="C80" s="21"/>
      <c r="D80" s="21"/>
      <c r="E80" s="22"/>
      <c r="F80" s="22"/>
      <c r="G80" s="22"/>
      <c r="H80" s="22"/>
      <c r="I80" s="22"/>
      <c r="J80" s="22"/>
      <c r="K80" s="22"/>
      <c r="L80" s="22"/>
      <c r="O80" s="34">
        <f>SUM(O34:O35)</f>
        <v>65</v>
      </c>
      <c r="P80" s="34">
        <f t="shared" ref="P80:X80" si="46">SUM(P34:P35)</f>
        <v>270</v>
      </c>
      <c r="Q80" s="34">
        <f t="shared" si="46"/>
        <v>32</v>
      </c>
      <c r="R80" s="35">
        <f t="shared" si="46"/>
        <v>28</v>
      </c>
      <c r="S80" s="35">
        <f t="shared" si="46"/>
        <v>0</v>
      </c>
      <c r="T80" s="35">
        <f t="shared" si="46"/>
        <v>0</v>
      </c>
      <c r="U80" s="35">
        <f t="shared" si="46"/>
        <v>1</v>
      </c>
      <c r="V80" s="35">
        <f t="shared" si="46"/>
        <v>0</v>
      </c>
      <c r="W80" s="35">
        <f t="shared" si="46"/>
        <v>2</v>
      </c>
      <c r="X80" s="35">
        <f t="shared" si="46"/>
        <v>0</v>
      </c>
      <c r="Y80" s="36">
        <f t="shared" si="28"/>
        <v>125</v>
      </c>
      <c r="Z80" s="37">
        <f t="shared" si="29"/>
        <v>271</v>
      </c>
      <c r="AA80" s="37">
        <f t="shared" si="30"/>
        <v>2</v>
      </c>
      <c r="AB80" s="36">
        <f t="shared" si="31"/>
        <v>398</v>
      </c>
      <c r="AC80" s="38">
        <f t="shared" si="32"/>
        <v>234.5</v>
      </c>
      <c r="AD80" s="50">
        <f t="shared" si="33"/>
        <v>5.5048409405255877E-2</v>
      </c>
      <c r="AE80" s="50">
        <f t="shared" si="33"/>
        <v>4.9446494464944653E-2</v>
      </c>
      <c r="AG80" s="48">
        <f t="shared" si="34"/>
        <v>32.5</v>
      </c>
      <c r="AH80" s="48">
        <f t="shared" si="34"/>
        <v>135</v>
      </c>
      <c r="AI80" s="48">
        <f t="shared" si="34"/>
        <v>32</v>
      </c>
      <c r="AJ80" s="48">
        <f t="shared" si="34"/>
        <v>28</v>
      </c>
      <c r="AK80" s="48">
        <f t="shared" si="34"/>
        <v>0</v>
      </c>
      <c r="AL80" s="48">
        <f t="shared" si="34"/>
        <v>0</v>
      </c>
      <c r="AM80" s="48">
        <f t="shared" si="34"/>
        <v>2</v>
      </c>
      <c r="AN80" s="48">
        <f t="shared" si="34"/>
        <v>0</v>
      </c>
      <c r="AO80" s="48">
        <f t="shared" si="34"/>
        <v>5</v>
      </c>
      <c r="AQ80" s="50"/>
      <c r="AU80" s="5"/>
      <c r="AV80" s="5"/>
      <c r="AW80" s="5"/>
      <c r="AX80" s="5"/>
      <c r="AY80" s="5"/>
    </row>
    <row r="81" spans="1:51" s="48" customFormat="1">
      <c r="A81" s="3">
        <v>0.83333333333333259</v>
      </c>
      <c r="B81" s="3">
        <v>0.87499999999999911</v>
      </c>
      <c r="C81" s="21"/>
      <c r="D81" s="21"/>
      <c r="E81" s="22"/>
      <c r="F81" s="22"/>
      <c r="G81" s="22"/>
      <c r="H81" s="22"/>
      <c r="I81" s="22"/>
      <c r="J81" s="22"/>
      <c r="K81" s="22"/>
      <c r="L81" s="22"/>
      <c r="O81" s="34">
        <f>SUM(O36:O37)</f>
        <v>35</v>
      </c>
      <c r="P81" s="34">
        <f t="shared" ref="P81:X81" si="47">SUM(P36:P37)</f>
        <v>190</v>
      </c>
      <c r="Q81" s="34">
        <f t="shared" si="47"/>
        <v>21</v>
      </c>
      <c r="R81" s="35">
        <f t="shared" si="47"/>
        <v>26</v>
      </c>
      <c r="S81" s="35">
        <f t="shared" si="47"/>
        <v>0</v>
      </c>
      <c r="T81" s="35">
        <f t="shared" si="47"/>
        <v>0</v>
      </c>
      <c r="U81" s="35">
        <f t="shared" si="47"/>
        <v>0</v>
      </c>
      <c r="V81" s="35">
        <f t="shared" si="47"/>
        <v>0</v>
      </c>
      <c r="W81" s="35">
        <f t="shared" si="47"/>
        <v>3</v>
      </c>
      <c r="X81" s="35">
        <f t="shared" si="47"/>
        <v>0</v>
      </c>
      <c r="Y81" s="36">
        <f t="shared" si="28"/>
        <v>82</v>
      </c>
      <c r="Z81" s="37">
        <f t="shared" si="29"/>
        <v>190</v>
      </c>
      <c r="AA81" s="37">
        <f t="shared" si="30"/>
        <v>3</v>
      </c>
      <c r="AB81" s="36">
        <f t="shared" si="31"/>
        <v>275</v>
      </c>
      <c r="AC81" s="38">
        <f t="shared" si="32"/>
        <v>167</v>
      </c>
      <c r="AD81" s="50">
        <f t="shared" si="33"/>
        <v>3.8035961272475792E-2</v>
      </c>
      <c r="AE81" s="50">
        <f t="shared" si="33"/>
        <v>3.5213494992092781E-2</v>
      </c>
      <c r="AG81" s="48">
        <f t="shared" si="34"/>
        <v>17.5</v>
      </c>
      <c r="AH81" s="48">
        <f t="shared" si="34"/>
        <v>95</v>
      </c>
      <c r="AI81" s="48">
        <f t="shared" si="34"/>
        <v>21</v>
      </c>
      <c r="AJ81" s="48">
        <f t="shared" si="34"/>
        <v>26</v>
      </c>
      <c r="AK81" s="48">
        <f t="shared" si="34"/>
        <v>0</v>
      </c>
      <c r="AL81" s="48">
        <f t="shared" si="34"/>
        <v>0</v>
      </c>
      <c r="AM81" s="48">
        <f t="shared" si="34"/>
        <v>0</v>
      </c>
      <c r="AN81" s="48">
        <f t="shared" si="34"/>
        <v>0</v>
      </c>
      <c r="AO81" s="48">
        <f t="shared" si="34"/>
        <v>7.5</v>
      </c>
      <c r="AQ81" s="50"/>
      <c r="AU81" s="5"/>
      <c r="AV81" s="5"/>
      <c r="AW81" s="5"/>
      <c r="AX81" s="5"/>
      <c r="AY81" s="5"/>
    </row>
    <row r="82" spans="1:51" s="48" customFormat="1">
      <c r="A82" s="3">
        <v>0.87499999999999911</v>
      </c>
      <c r="B82" s="3">
        <v>0.91666666666666663</v>
      </c>
      <c r="C82" s="21"/>
      <c r="D82" s="21"/>
      <c r="E82" s="22"/>
      <c r="F82" s="22"/>
      <c r="G82" s="22"/>
      <c r="H82" s="22"/>
      <c r="I82" s="22"/>
      <c r="J82" s="22"/>
      <c r="K82" s="22"/>
      <c r="L82" s="22"/>
      <c r="O82" s="34">
        <f>SUM(O38:O39)</f>
        <v>0</v>
      </c>
      <c r="P82" s="34">
        <f t="shared" ref="P82:X82" si="48">SUM(P38:P39)</f>
        <v>0</v>
      </c>
      <c r="Q82" s="34">
        <f t="shared" si="48"/>
        <v>0</v>
      </c>
      <c r="R82" s="35">
        <f t="shared" si="48"/>
        <v>0</v>
      </c>
      <c r="S82" s="35">
        <f t="shared" si="48"/>
        <v>0</v>
      </c>
      <c r="T82" s="35">
        <f t="shared" si="48"/>
        <v>0</v>
      </c>
      <c r="U82" s="35">
        <f t="shared" si="48"/>
        <v>0</v>
      </c>
      <c r="V82" s="35">
        <f t="shared" si="48"/>
        <v>0</v>
      </c>
      <c r="W82" s="35">
        <f t="shared" si="48"/>
        <v>0</v>
      </c>
      <c r="X82" s="35">
        <f t="shared" si="48"/>
        <v>0</v>
      </c>
      <c r="Y82" s="36">
        <f t="shared" si="28"/>
        <v>0</v>
      </c>
      <c r="Z82" s="37">
        <f t="shared" si="29"/>
        <v>0</v>
      </c>
      <c r="AA82" s="37">
        <f t="shared" si="30"/>
        <v>0</v>
      </c>
      <c r="AB82" s="36">
        <f t="shared" si="31"/>
        <v>0</v>
      </c>
      <c r="AC82" s="38">
        <f t="shared" si="32"/>
        <v>0</v>
      </c>
      <c r="AD82" s="50">
        <f t="shared" si="33"/>
        <v>0</v>
      </c>
      <c r="AE82" s="50">
        <f t="shared" si="33"/>
        <v>0</v>
      </c>
      <c r="AG82" s="48">
        <f t="shared" si="34"/>
        <v>0</v>
      </c>
      <c r="AH82" s="48">
        <f t="shared" si="34"/>
        <v>0</v>
      </c>
      <c r="AI82" s="48">
        <f t="shared" si="34"/>
        <v>0</v>
      </c>
      <c r="AJ82" s="48">
        <f t="shared" si="34"/>
        <v>0</v>
      </c>
      <c r="AK82" s="48">
        <f t="shared" si="34"/>
        <v>0</v>
      </c>
      <c r="AL82" s="48">
        <f t="shared" si="34"/>
        <v>0</v>
      </c>
      <c r="AM82" s="48">
        <f t="shared" si="34"/>
        <v>0</v>
      </c>
      <c r="AN82" s="48">
        <f t="shared" si="34"/>
        <v>0</v>
      </c>
      <c r="AO82" s="48">
        <f t="shared" si="34"/>
        <v>0</v>
      </c>
      <c r="AQ82" s="50"/>
      <c r="AU82" s="5"/>
      <c r="AV82" s="5"/>
      <c r="AW82" s="5"/>
      <c r="AX82" s="5"/>
      <c r="AY82" s="5"/>
    </row>
    <row r="83" spans="1:51" s="48" customFormat="1">
      <c r="A83" s="47"/>
      <c r="B83" s="47"/>
      <c r="C83" s="64"/>
      <c r="N83" s="54" t="s">
        <v>17</v>
      </c>
      <c r="O83" s="69">
        <f t="shared" ref="O83:W83" si="49">SUM(O68:O82)</f>
        <v>1189</v>
      </c>
      <c r="P83" s="69">
        <f t="shared" si="49"/>
        <v>4130</v>
      </c>
      <c r="Q83" s="69">
        <f t="shared" si="49"/>
        <v>1485</v>
      </c>
      <c r="R83" s="69">
        <f t="shared" si="49"/>
        <v>256</v>
      </c>
      <c r="S83" s="69">
        <f t="shared" si="49"/>
        <v>6</v>
      </c>
      <c r="T83" s="69">
        <f t="shared" si="49"/>
        <v>3</v>
      </c>
      <c r="U83" s="69">
        <f t="shared" si="49"/>
        <v>18</v>
      </c>
      <c r="V83" s="69">
        <f t="shared" si="49"/>
        <v>62</v>
      </c>
      <c r="W83" s="69">
        <f t="shared" si="49"/>
        <v>81</v>
      </c>
      <c r="Y83" s="67">
        <f>SUM(Y68:Y82)</f>
        <v>2930</v>
      </c>
      <c r="Z83" s="67">
        <f>SUM(Z68:Z82)</f>
        <v>4157</v>
      </c>
      <c r="AA83" s="67">
        <f>SUM(AA68:AA82)</f>
        <v>143</v>
      </c>
      <c r="AB83" s="67">
        <f>SUM(AB68:AB82)</f>
        <v>7230</v>
      </c>
      <c r="AC83" s="67">
        <f>SUM(AC68:AC82)</f>
        <v>4742.5</v>
      </c>
      <c r="AD83" s="50">
        <f t="shared" si="33"/>
        <v>1</v>
      </c>
      <c r="AE83" s="50">
        <f t="shared" si="33"/>
        <v>1</v>
      </c>
      <c r="AQ83" s="50"/>
    </row>
    <row r="84" spans="1:51" s="48" customFormat="1">
      <c r="A84" s="51"/>
      <c r="B84" s="51"/>
      <c r="N84" s="54" t="s">
        <v>16</v>
      </c>
      <c r="Y84" s="50"/>
      <c r="Z84" s="50"/>
      <c r="AA84" s="50"/>
      <c r="AB84" s="49"/>
    </row>
    <row r="85" spans="1:51" s="48" customFormat="1">
      <c r="A85" s="51"/>
      <c r="B85" s="51"/>
    </row>
    <row r="86" spans="1:51" s="48" customFormat="1">
      <c r="AB86" s="52" t="s">
        <v>14</v>
      </c>
      <c r="AC86" s="55">
        <f>MAX(AC68:AC82)</f>
        <v>489</v>
      </c>
    </row>
    <row r="87" spans="1:51" s="48" customFormat="1">
      <c r="AB87" s="52" t="s">
        <v>15</v>
      </c>
      <c r="AC87" s="56" t="s">
        <v>23</v>
      </c>
    </row>
    <row r="88" spans="1:51" s="48" customFormat="1"/>
    <row r="89" spans="1:51" s="48" customFormat="1"/>
    <row r="90" spans="1:51" s="48" customFormat="1"/>
  </sheetData>
  <mergeCells count="1">
    <mergeCell ref="A7:B7"/>
  </mergeCells>
  <phoneticPr fontId="9" type="noConversion"/>
  <conditionalFormatting sqref="C10:L65 O10:AC65 C68:L82 O68:AC82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1-3</vt:lpstr>
      <vt:lpstr>1-4</vt:lpstr>
      <vt:lpstr>3-1</vt:lpstr>
      <vt:lpstr>3-4</vt:lpstr>
      <vt:lpstr>4-1</vt:lpstr>
      <vt:lpstr>4-3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K.Koh</dc:creator>
  <cp:lastModifiedBy>Carlos Castillo</cp:lastModifiedBy>
  <dcterms:created xsi:type="dcterms:W3CDTF">2021-03-24T12:53:58Z</dcterms:created>
  <dcterms:modified xsi:type="dcterms:W3CDTF">2025-09-09T06:56:38Z</dcterms:modified>
</cp:coreProperties>
</file>